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eab4746f8232af/Documents/CV Benjamín/Proyectos/Nessus Hoteles/"/>
    </mc:Choice>
  </mc:AlternateContent>
  <xr:revisionPtr revIDLastSave="1345" documentId="8_{50E6502D-EC7C-4269-9176-2F20E55E2A87}" xr6:coauthVersionLast="47" xr6:coauthVersionMax="47" xr10:uidLastSave="{E3782E50-A301-4700-8F76-A9FCDB1F7BBB}"/>
  <bookViews>
    <workbookView xWindow="-120" yWindow="-120" windowWidth="20730" windowHeight="11040" tabRatio="775" firstSheet="32" activeTab="32" xr2:uid="{DF0CFB17-DA46-4BF6-8AF8-86E3C8A1929B}"/>
  </bookViews>
  <sheets>
    <sheet name="16-I" sheetId="1" state="hidden" r:id="rId1"/>
    <sheet name="16-II" sheetId="2" state="hidden" r:id="rId2"/>
    <sheet name="16-III" sheetId="3" state="hidden" r:id="rId3"/>
    <sheet name="16-IV" sheetId="4" state="hidden" r:id="rId4"/>
    <sheet name="ER (2)" sheetId="31" state="hidden" r:id="rId5"/>
    <sheet name="17-I" sheetId="5" state="hidden" r:id="rId6"/>
    <sheet name="17-II" sheetId="6" state="hidden" r:id="rId7"/>
    <sheet name="17-III" sheetId="7" state="hidden" r:id="rId8"/>
    <sheet name="17-IV" sheetId="8" state="hidden" r:id="rId9"/>
    <sheet name="18-I" sheetId="9" state="hidden" r:id="rId10"/>
    <sheet name="18-II" sheetId="10" state="hidden" r:id="rId11"/>
    <sheet name="18-III" sheetId="11" state="hidden" r:id="rId12"/>
    <sheet name="18-IV" sheetId="12" state="hidden" r:id="rId13"/>
    <sheet name="19-I" sheetId="13" state="hidden" r:id="rId14"/>
    <sheet name="19-II" sheetId="14" state="hidden" r:id="rId15"/>
    <sheet name="19-III" sheetId="15" state="hidden" r:id="rId16"/>
    <sheet name="19-IV" sheetId="16" state="hidden" r:id="rId17"/>
    <sheet name="20-I" sheetId="18" state="hidden" r:id="rId18"/>
    <sheet name="20-II" sheetId="19" state="hidden" r:id="rId19"/>
    <sheet name="20-III" sheetId="20" state="hidden" r:id="rId20"/>
    <sheet name="20-IV" sheetId="21" state="hidden" r:id="rId21"/>
    <sheet name="21-I" sheetId="22" state="hidden" r:id="rId22"/>
    <sheet name="21-II" sheetId="23" state="hidden" r:id="rId23"/>
    <sheet name="21-III" sheetId="24" state="hidden" r:id="rId24"/>
    <sheet name="21-IV" sheetId="25" state="hidden" r:id="rId25"/>
    <sheet name="22-I" sheetId="26" state="hidden" r:id="rId26"/>
    <sheet name="22-II" sheetId="27" state="hidden" r:id="rId27"/>
    <sheet name="22-III" sheetId="28" state="hidden" r:id="rId28"/>
    <sheet name="22-IV" sheetId="29" state="hidden" r:id="rId29"/>
    <sheet name="ER" sheetId="17" state="hidden" r:id="rId30"/>
    <sheet name="E_R" sheetId="32" state="hidden" r:id="rId31"/>
    <sheet name="Sheet5" sheetId="35" state="hidden" r:id="rId32"/>
    <sheet name="Data" sheetId="33" r:id="rId33"/>
    <sheet name="Mapeo_Cuentas" sheetId="34" r:id="rId34"/>
  </sheets>
  <definedNames>
    <definedName name="ExternalData_1" localSheetId="32" hidden="1">Data!$A$1:$G$1625</definedName>
  </definedNames>
  <calcPr calcId="191029"/>
  <pivotCaches>
    <pivotCache cacheId="3" r:id="rId3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entas_3647c275-6dae-448c-9a41-05ac4193e4ad" name="Dim_Cuentas" connection="Query - Dim_Cuentas"/>
          <x15:modelTable id="Data_83fbb844-9583-4718-8361-71b100ca6ee5" name="Data" connection="Query - Data"/>
        </x15:modelTables>
        <x15:modelRelationships>
          <x15:modelRelationship fromTable="Data" fromColumn="Cuenta" toTable="Dim_Cuentas" toColumn="Cuenta_Original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" columnName="Periodo" columnId="Periodo">
                <x16:calculatedTimeColumn columnName="Periodo (Year)" columnId="Periodo (Year)" contentType="years" isSelected="1"/>
                <x16:calculatedTimeColumn columnName="Periodo (Quarter)" columnId="Periodo (Quarter)" contentType="quarters" isSelected="1"/>
                <x16:calculatedTimeColumn columnName="Periodo (Month Index)" columnId="Periodo (Month Index)" contentType="monthsindex" isSelected="1"/>
                <x16:calculatedTimeColumn columnName="Periodo (Month)" columnId="Periodo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32" l="1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R12" i="32"/>
  <c r="S12" i="32"/>
  <c r="T12" i="32"/>
  <c r="U12" i="32"/>
  <c r="V12" i="32"/>
  <c r="W12" i="32"/>
  <c r="X12" i="32"/>
  <c r="Y12" i="32"/>
  <c r="Z12" i="32"/>
  <c r="AA12" i="32"/>
  <c r="AB12" i="32"/>
  <c r="AC12" i="32"/>
  <c r="C6" i="32"/>
  <c r="C14" i="32" s="1"/>
  <c r="C22" i="32" s="1"/>
  <c r="C24" i="32" s="1"/>
  <c r="D6" i="32"/>
  <c r="D14" i="32" s="1"/>
  <c r="D22" i="32" s="1"/>
  <c r="D24" i="32" s="1"/>
  <c r="E6" i="32"/>
  <c r="E14" i="32" s="1"/>
  <c r="E22" i="32" s="1"/>
  <c r="E24" i="32" s="1"/>
  <c r="F6" i="32"/>
  <c r="F14" i="32" s="1"/>
  <c r="F22" i="32" s="1"/>
  <c r="F24" i="32" s="1"/>
  <c r="G6" i="32"/>
  <c r="G14" i="32" s="1"/>
  <c r="G22" i="32" s="1"/>
  <c r="G24" i="32" s="1"/>
  <c r="H6" i="32"/>
  <c r="H14" i="32" s="1"/>
  <c r="H22" i="32" s="1"/>
  <c r="H24" i="32" s="1"/>
  <c r="I6" i="32"/>
  <c r="I14" i="32" s="1"/>
  <c r="I22" i="32" s="1"/>
  <c r="I24" i="32" s="1"/>
  <c r="J6" i="32"/>
  <c r="J14" i="32" s="1"/>
  <c r="J22" i="32" s="1"/>
  <c r="J24" i="32" s="1"/>
  <c r="K6" i="32"/>
  <c r="K14" i="32" s="1"/>
  <c r="K22" i="32" s="1"/>
  <c r="K24" i="32" s="1"/>
  <c r="L6" i="32"/>
  <c r="L14" i="32" s="1"/>
  <c r="L22" i="32" s="1"/>
  <c r="L24" i="32" s="1"/>
  <c r="M6" i="32"/>
  <c r="M14" i="32" s="1"/>
  <c r="M22" i="32" s="1"/>
  <c r="M24" i="32" s="1"/>
  <c r="N6" i="32"/>
  <c r="N14" i="32" s="1"/>
  <c r="N16" i="32" s="1"/>
  <c r="O6" i="32"/>
  <c r="O14" i="32" s="1"/>
  <c r="O22" i="32" s="1"/>
  <c r="O24" i="32" s="1"/>
  <c r="P6" i="32"/>
  <c r="P14" i="32" s="1"/>
  <c r="P22" i="32" s="1"/>
  <c r="P24" i="32" s="1"/>
  <c r="Q6" i="32"/>
  <c r="R6" i="32"/>
  <c r="R14" i="32" s="1"/>
  <c r="R22" i="32" s="1"/>
  <c r="R24" i="32" s="1"/>
  <c r="S6" i="32"/>
  <c r="S14" i="32" s="1"/>
  <c r="S22" i="32" s="1"/>
  <c r="S24" i="32" s="1"/>
  <c r="T6" i="32"/>
  <c r="T14" i="32" s="1"/>
  <c r="T22" i="32" s="1"/>
  <c r="T24" i="32" s="1"/>
  <c r="U6" i="32"/>
  <c r="V6" i="32"/>
  <c r="W6" i="32"/>
  <c r="W14" i="32" s="1"/>
  <c r="W22" i="32" s="1"/>
  <c r="W24" i="32" s="1"/>
  <c r="X6" i="32"/>
  <c r="X14" i="32" s="1"/>
  <c r="X22" i="32" s="1"/>
  <c r="X24" i="32" s="1"/>
  <c r="Y6" i="32"/>
  <c r="Y14" i="32" s="1"/>
  <c r="Y22" i="32" s="1"/>
  <c r="Y24" i="32" s="1"/>
  <c r="Z6" i="32"/>
  <c r="Z14" i="32" s="1"/>
  <c r="Z22" i="32" s="1"/>
  <c r="Z24" i="32" s="1"/>
  <c r="AA6" i="32"/>
  <c r="AA14" i="32" s="1"/>
  <c r="AA22" i="32" s="1"/>
  <c r="AA24" i="32" s="1"/>
  <c r="AB6" i="32"/>
  <c r="AB14" i="32" s="1"/>
  <c r="AB22" i="32" s="1"/>
  <c r="AB24" i="32" s="1"/>
  <c r="AC6" i="32"/>
  <c r="AC14" i="32" s="1"/>
  <c r="AC22" i="32" s="1"/>
  <c r="AC24" i="32" s="1"/>
  <c r="B6" i="32"/>
  <c r="B14" i="32" s="1"/>
  <c r="B22" i="32" s="1"/>
  <c r="B24" i="32" s="1"/>
  <c r="B12" i="32"/>
  <c r="Q14" i="32"/>
  <c r="Q22" i="32" s="1"/>
  <c r="Q24" i="32" s="1"/>
  <c r="U14" i="32"/>
  <c r="U22" i="32" s="1"/>
  <c r="U24" i="32" s="1"/>
  <c r="V14" i="32"/>
  <c r="V16" i="32" s="1"/>
  <c r="AC102" i="32"/>
  <c r="AB102" i="32"/>
  <c r="AA102" i="32"/>
  <c r="Z102" i="32"/>
  <c r="Y102" i="32"/>
  <c r="X102" i="32"/>
  <c r="W102" i="32"/>
  <c r="V102" i="32"/>
  <c r="U102" i="32"/>
  <c r="T102" i="32"/>
  <c r="S102" i="32"/>
  <c r="R102" i="32"/>
  <c r="Q102" i="32"/>
  <c r="P102" i="32"/>
  <c r="O102" i="32"/>
  <c r="N102" i="32"/>
  <c r="M102" i="32"/>
  <c r="L102" i="32"/>
  <c r="K102" i="32"/>
  <c r="J102" i="32"/>
  <c r="I102" i="32"/>
  <c r="H102" i="32"/>
  <c r="G102" i="32"/>
  <c r="F102" i="32"/>
  <c r="E102" i="32"/>
  <c r="D102" i="32"/>
  <c r="C102" i="32"/>
  <c r="B102" i="32"/>
  <c r="AC91" i="32"/>
  <c r="AB91" i="32"/>
  <c r="AA91" i="32"/>
  <c r="Y91" i="32"/>
  <c r="X91" i="32"/>
  <c r="W91" i="32"/>
  <c r="U91" i="32"/>
  <c r="T91" i="32"/>
  <c r="S91" i="32"/>
  <c r="Q91" i="32"/>
  <c r="P91" i="32"/>
  <c r="O91" i="32"/>
  <c r="M91" i="32"/>
  <c r="L91" i="32"/>
  <c r="K91" i="32"/>
  <c r="I91" i="32"/>
  <c r="H91" i="32"/>
  <c r="G91" i="32"/>
  <c r="E91" i="32"/>
  <c r="D91" i="32"/>
  <c r="C91" i="32"/>
  <c r="Z85" i="32"/>
  <c r="V85" i="32"/>
  <c r="R85" i="32"/>
  <c r="N85" i="32"/>
  <c r="J85" i="32"/>
  <c r="F85" i="32"/>
  <c r="B85" i="32"/>
  <c r="Z81" i="32"/>
  <c r="V81" i="32"/>
  <c r="R81" i="32"/>
  <c r="N81" i="32"/>
  <c r="J81" i="32"/>
  <c r="F81" i="32"/>
  <c r="B81" i="32"/>
  <c r="AC78" i="32"/>
  <c r="AB78" i="32"/>
  <c r="AA78" i="32"/>
  <c r="Z78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AC63" i="32"/>
  <c r="AB63" i="32"/>
  <c r="AA63" i="32"/>
  <c r="Z63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Z15" i="32"/>
  <c r="V15" i="32"/>
  <c r="R15" i="32"/>
  <c r="N15" i="32"/>
  <c r="J15" i="32"/>
  <c r="F15" i="32"/>
  <c r="B15" i="32"/>
  <c r="C15" i="32" s="1"/>
  <c r="D15" i="32" s="1"/>
  <c r="E15" i="32" s="1"/>
  <c r="C109" i="17"/>
  <c r="B109" i="17"/>
  <c r="C108" i="17" s="1"/>
  <c r="AC93" i="17"/>
  <c r="AB93" i="17"/>
  <c r="AA93" i="17"/>
  <c r="Y93" i="17"/>
  <c r="X93" i="17"/>
  <c r="W93" i="17"/>
  <c r="V93" i="17"/>
  <c r="U93" i="17"/>
  <c r="T93" i="17"/>
  <c r="S93" i="17"/>
  <c r="Q93" i="17"/>
  <c r="P93" i="17"/>
  <c r="O93" i="17"/>
  <c r="M93" i="17"/>
  <c r="L93" i="17"/>
  <c r="K93" i="17"/>
  <c r="I93" i="17"/>
  <c r="H93" i="17"/>
  <c r="G93" i="17"/>
  <c r="F93" i="17"/>
  <c r="E93" i="17"/>
  <c r="D93" i="17"/>
  <c r="C93" i="17"/>
  <c r="Z87" i="17"/>
  <c r="V87" i="17"/>
  <c r="R87" i="17"/>
  <c r="N87" i="17"/>
  <c r="N93" i="17" s="1"/>
  <c r="J87" i="17"/>
  <c r="F87" i="17"/>
  <c r="B87" i="17"/>
  <c r="Z83" i="17"/>
  <c r="Z93" i="17" s="1"/>
  <c r="V83" i="17"/>
  <c r="R83" i="17"/>
  <c r="R93" i="17" s="1"/>
  <c r="N83" i="17"/>
  <c r="J83" i="17"/>
  <c r="J93" i="17" s="1"/>
  <c r="F83" i="17"/>
  <c r="B83" i="17"/>
  <c r="B93" i="17" s="1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C104" i="31"/>
  <c r="AB104" i="31"/>
  <c r="AA104" i="31"/>
  <c r="Z104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F106" i="31" s="1"/>
  <c r="F109" i="31" s="1"/>
  <c r="E104" i="31"/>
  <c r="D104" i="31"/>
  <c r="C104" i="31"/>
  <c r="B104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AC83" i="31"/>
  <c r="AC93" i="31" s="1"/>
  <c r="AB83" i="31"/>
  <c r="AB93" i="31" s="1"/>
  <c r="AB106" i="31" s="1"/>
  <c r="AB109" i="31" s="1"/>
  <c r="AA83" i="31"/>
  <c r="AA93" i="31" s="1"/>
  <c r="AA106" i="31" s="1"/>
  <c r="AA109" i="31" s="1"/>
  <c r="Z83" i="31"/>
  <c r="Z93" i="31" s="1"/>
  <c r="Z106" i="31" s="1"/>
  <c r="Z109" i="31" s="1"/>
  <c r="Y83" i="31"/>
  <c r="Y93" i="31" s="1"/>
  <c r="X83" i="31"/>
  <c r="X93" i="31" s="1"/>
  <c r="W83" i="31"/>
  <c r="W93" i="31" s="1"/>
  <c r="V83" i="31"/>
  <c r="V93" i="31" s="1"/>
  <c r="U83" i="31"/>
  <c r="U93" i="31" s="1"/>
  <c r="T83" i="31"/>
  <c r="T93" i="31" s="1"/>
  <c r="T106" i="31" s="1"/>
  <c r="T109" i="31" s="1"/>
  <c r="S83" i="31"/>
  <c r="S93" i="31" s="1"/>
  <c r="S106" i="31" s="1"/>
  <c r="S109" i="31" s="1"/>
  <c r="R83" i="31"/>
  <c r="R93" i="31" s="1"/>
  <c r="R106" i="31" s="1"/>
  <c r="R109" i="31" s="1"/>
  <c r="Q83" i="31"/>
  <c r="Q93" i="31" s="1"/>
  <c r="P83" i="31"/>
  <c r="P93" i="31" s="1"/>
  <c r="O83" i="31"/>
  <c r="O93" i="31" s="1"/>
  <c r="N83" i="31"/>
  <c r="N93" i="31" s="1"/>
  <c r="M83" i="31"/>
  <c r="M93" i="31" s="1"/>
  <c r="L83" i="31"/>
  <c r="L93" i="31" s="1"/>
  <c r="L106" i="31" s="1"/>
  <c r="L109" i="31" s="1"/>
  <c r="K83" i="31"/>
  <c r="K93" i="31" s="1"/>
  <c r="K106" i="31" s="1"/>
  <c r="K109" i="31" s="1"/>
  <c r="J83" i="31"/>
  <c r="J93" i="31" s="1"/>
  <c r="J106" i="31" s="1"/>
  <c r="J109" i="31" s="1"/>
  <c r="I83" i="31"/>
  <c r="I93" i="31" s="1"/>
  <c r="H83" i="31"/>
  <c r="H93" i="31" s="1"/>
  <c r="G83" i="31"/>
  <c r="G93" i="31" s="1"/>
  <c r="F83" i="31"/>
  <c r="F93" i="31" s="1"/>
  <c r="E83" i="31"/>
  <c r="E93" i="31" s="1"/>
  <c r="D83" i="31"/>
  <c r="D93" i="31" s="1"/>
  <c r="C83" i="31"/>
  <c r="C93" i="31" s="1"/>
  <c r="C106" i="31" s="1"/>
  <c r="C109" i="31" s="1"/>
  <c r="B83" i="31"/>
  <c r="B93" i="31" s="1"/>
  <c r="B106" i="31" s="1"/>
  <c r="B109" i="31" s="1"/>
  <c r="AC80" i="31"/>
  <c r="AB80" i="31"/>
  <c r="AA80" i="31"/>
  <c r="Z80" i="31"/>
  <c r="Y80" i="31"/>
  <c r="X80" i="31"/>
  <c r="W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B80" i="31"/>
  <c r="E77" i="31"/>
  <c r="D77" i="31"/>
  <c r="C77" i="31"/>
  <c r="E76" i="31"/>
  <c r="D76" i="31"/>
  <c r="C76" i="31"/>
  <c r="E75" i="31"/>
  <c r="D75" i="31"/>
  <c r="C75" i="31"/>
  <c r="E73" i="31"/>
  <c r="D73" i="31"/>
  <c r="E72" i="31"/>
  <c r="E80" i="31" s="1"/>
  <c r="D72" i="31"/>
  <c r="D80" i="31" s="1"/>
  <c r="C72" i="31"/>
  <c r="C80" i="31" s="1"/>
  <c r="AC65" i="31"/>
  <c r="AB65" i="31"/>
  <c r="AA65" i="31"/>
  <c r="AA66" i="31" s="1"/>
  <c r="Z65" i="31"/>
  <c r="Y65" i="31"/>
  <c r="X65" i="31"/>
  <c r="W65" i="31"/>
  <c r="V65" i="31"/>
  <c r="V66" i="31" s="1"/>
  <c r="U65" i="31"/>
  <c r="T65" i="31"/>
  <c r="S65" i="31"/>
  <c r="S66" i="31" s="1"/>
  <c r="R65" i="31"/>
  <c r="Q65" i="31"/>
  <c r="P65" i="31"/>
  <c r="O65" i="31"/>
  <c r="N65" i="31"/>
  <c r="N66" i="31" s="1"/>
  <c r="M65" i="31"/>
  <c r="L65" i="31"/>
  <c r="K65" i="31"/>
  <c r="K66" i="31" s="1"/>
  <c r="J65" i="31"/>
  <c r="I65" i="31"/>
  <c r="H65" i="31"/>
  <c r="G65" i="31"/>
  <c r="F65" i="31"/>
  <c r="F66" i="31" s="1"/>
  <c r="E65" i="31"/>
  <c r="D65" i="31"/>
  <c r="C65" i="31"/>
  <c r="C66" i="31" s="1"/>
  <c r="B65" i="31"/>
  <c r="AC58" i="31"/>
  <c r="AC59" i="31" s="1"/>
  <c r="AB58" i="31"/>
  <c r="AB59" i="31" s="1"/>
  <c r="AA58" i="31"/>
  <c r="AA59" i="31" s="1"/>
  <c r="Z58" i="31"/>
  <c r="Y58" i="31"/>
  <c r="X58" i="31"/>
  <c r="W58" i="31"/>
  <c r="W59" i="31" s="1"/>
  <c r="V58" i="31"/>
  <c r="V59" i="31" s="1"/>
  <c r="U58" i="31"/>
  <c r="U59" i="31" s="1"/>
  <c r="T58" i="31"/>
  <c r="T59" i="31" s="1"/>
  <c r="S58" i="31"/>
  <c r="S59" i="31" s="1"/>
  <c r="R58" i="31"/>
  <c r="Q58" i="31"/>
  <c r="P58" i="31"/>
  <c r="O58" i="31"/>
  <c r="O59" i="31" s="1"/>
  <c r="N58" i="31"/>
  <c r="N59" i="31" s="1"/>
  <c r="M58" i="31"/>
  <c r="M59" i="31" s="1"/>
  <c r="L58" i="31"/>
  <c r="L59" i="31" s="1"/>
  <c r="K58" i="31"/>
  <c r="K59" i="31" s="1"/>
  <c r="J58" i="31"/>
  <c r="I58" i="31"/>
  <c r="H58" i="31"/>
  <c r="G58" i="31"/>
  <c r="G59" i="31" s="1"/>
  <c r="F58" i="31"/>
  <c r="F59" i="31" s="1"/>
  <c r="E58" i="31"/>
  <c r="E59" i="31" s="1"/>
  <c r="D58" i="31"/>
  <c r="D59" i="31" s="1"/>
  <c r="C58" i="31"/>
  <c r="C59" i="31" s="1"/>
  <c r="B58" i="31"/>
  <c r="AC52" i="31"/>
  <c r="AB52" i="31"/>
  <c r="AA52" i="31"/>
  <c r="Z52" i="31"/>
  <c r="Z59" i="31" s="1"/>
  <c r="Z66" i="31" s="1"/>
  <c r="Y52" i="31"/>
  <c r="Y59" i="31" s="1"/>
  <c r="Y66" i="31" s="1"/>
  <c r="X52" i="31"/>
  <c r="X59" i="31" s="1"/>
  <c r="X66" i="31" s="1"/>
  <c r="W52" i="31"/>
  <c r="V52" i="31"/>
  <c r="U52" i="31"/>
  <c r="T52" i="31"/>
  <c r="S52" i="31"/>
  <c r="R52" i="31"/>
  <c r="R59" i="31" s="1"/>
  <c r="R66" i="31" s="1"/>
  <c r="Q52" i="31"/>
  <c r="Q59" i="31" s="1"/>
  <c r="Q66" i="31" s="1"/>
  <c r="P52" i="31"/>
  <c r="P59" i="31" s="1"/>
  <c r="P66" i="31" s="1"/>
  <c r="O52" i="31"/>
  <c r="N52" i="31"/>
  <c r="M52" i="31"/>
  <c r="L52" i="31"/>
  <c r="K52" i="31"/>
  <c r="J52" i="31"/>
  <c r="J59" i="31" s="1"/>
  <c r="J66" i="31" s="1"/>
  <c r="I52" i="31"/>
  <c r="I59" i="31" s="1"/>
  <c r="I66" i="31" s="1"/>
  <c r="H52" i="31"/>
  <c r="H59" i="31" s="1"/>
  <c r="H66" i="31" s="1"/>
  <c r="G52" i="31"/>
  <c r="F52" i="31"/>
  <c r="E52" i="31"/>
  <c r="D52" i="31"/>
  <c r="C52" i="31"/>
  <c r="B52" i="31"/>
  <c r="B59" i="31" s="1"/>
  <c r="B66" i="31" s="1"/>
  <c r="N46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AC37" i="31"/>
  <c r="AC46" i="31" s="1"/>
  <c r="AB37" i="31"/>
  <c r="AB46" i="31" s="1"/>
  <c r="AA37" i="31"/>
  <c r="AA46" i="31" s="1"/>
  <c r="Z37" i="31"/>
  <c r="Z46" i="31" s="1"/>
  <c r="Y37" i="31"/>
  <c r="Y46" i="31" s="1"/>
  <c r="X37" i="31"/>
  <c r="X46" i="31" s="1"/>
  <c r="W37" i="31"/>
  <c r="W46" i="31" s="1"/>
  <c r="V37" i="31"/>
  <c r="V46" i="31" s="1"/>
  <c r="U37" i="31"/>
  <c r="U46" i="31" s="1"/>
  <c r="T37" i="31"/>
  <c r="T46" i="31" s="1"/>
  <c r="S37" i="31"/>
  <c r="S46" i="31" s="1"/>
  <c r="R37" i="31"/>
  <c r="R46" i="31" s="1"/>
  <c r="Q37" i="31"/>
  <c r="Q46" i="31" s="1"/>
  <c r="P37" i="31"/>
  <c r="P46" i="31" s="1"/>
  <c r="O37" i="31"/>
  <c r="O46" i="31" s="1"/>
  <c r="N37" i="31"/>
  <c r="M37" i="31"/>
  <c r="M46" i="31" s="1"/>
  <c r="L37" i="31"/>
  <c r="L46" i="31" s="1"/>
  <c r="K37" i="31"/>
  <c r="K46" i="31" s="1"/>
  <c r="J37" i="31"/>
  <c r="J46" i="31" s="1"/>
  <c r="I37" i="31"/>
  <c r="I46" i="31" s="1"/>
  <c r="H37" i="31"/>
  <c r="H46" i="31" s="1"/>
  <c r="G37" i="31"/>
  <c r="G46" i="31" s="1"/>
  <c r="F37" i="31"/>
  <c r="F46" i="31" s="1"/>
  <c r="E37" i="31"/>
  <c r="E46" i="31" s="1"/>
  <c r="D37" i="31"/>
  <c r="D46" i="31" s="1"/>
  <c r="C37" i="31"/>
  <c r="C46" i="31" s="1"/>
  <c r="B37" i="31"/>
  <c r="B46" i="31" s="1"/>
  <c r="AC24" i="31"/>
  <c r="AC26" i="31" s="1"/>
  <c r="AB24" i="31"/>
  <c r="AB26" i="31" s="1"/>
  <c r="V24" i="31"/>
  <c r="V26" i="31" s="1"/>
  <c r="U24" i="31"/>
  <c r="U26" i="31" s="1"/>
  <c r="T24" i="31"/>
  <c r="T26" i="31" s="1"/>
  <c r="N24" i="31"/>
  <c r="N26" i="31" s="1"/>
  <c r="M24" i="31"/>
  <c r="M26" i="31" s="1"/>
  <c r="L24" i="31"/>
  <c r="L26" i="31" s="1"/>
  <c r="F24" i="31"/>
  <c r="F26" i="31" s="1"/>
  <c r="Z17" i="31"/>
  <c r="AA17" i="31" s="1"/>
  <c r="V17" i="31"/>
  <c r="R17" i="31"/>
  <c r="S17" i="31" s="1"/>
  <c r="N17" i="31"/>
  <c r="J17" i="31"/>
  <c r="K17" i="31" s="1"/>
  <c r="F17" i="31"/>
  <c r="B17" i="31"/>
  <c r="C17" i="31" s="1"/>
  <c r="AC16" i="31"/>
  <c r="AB16" i="31"/>
  <c r="AA16" i="31"/>
  <c r="AA24" i="31" s="1"/>
  <c r="AA26" i="31" s="1"/>
  <c r="Z16" i="31"/>
  <c r="Z18" i="31" s="1"/>
  <c r="Y16" i="31"/>
  <c r="Y24" i="31" s="1"/>
  <c r="Y26" i="31" s="1"/>
  <c r="X16" i="31"/>
  <c r="W16" i="31"/>
  <c r="V16" i="31"/>
  <c r="V18" i="31" s="1"/>
  <c r="U16" i="31"/>
  <c r="T16" i="31"/>
  <c r="S16" i="31"/>
  <c r="S24" i="31" s="1"/>
  <c r="S26" i="31" s="1"/>
  <c r="R16" i="31"/>
  <c r="R18" i="31" s="1"/>
  <c r="Q16" i="31"/>
  <c r="Q24" i="31" s="1"/>
  <c r="Q26" i="31" s="1"/>
  <c r="P16" i="31"/>
  <c r="O16" i="31"/>
  <c r="N16" i="31"/>
  <c r="N18" i="31" s="1"/>
  <c r="M16" i="31"/>
  <c r="L16" i="31"/>
  <c r="K16" i="31"/>
  <c r="K24" i="31" s="1"/>
  <c r="K26" i="31" s="1"/>
  <c r="J16" i="31"/>
  <c r="J18" i="31" s="1"/>
  <c r="I16" i="31"/>
  <c r="H16" i="31"/>
  <c r="G16" i="31"/>
  <c r="F16" i="31"/>
  <c r="F18" i="31" s="1"/>
  <c r="B16" i="31"/>
  <c r="B18" i="31" s="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B14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B8" i="31"/>
  <c r="E7" i="31"/>
  <c r="E16" i="31" s="1"/>
  <c r="D7" i="31"/>
  <c r="D16" i="31" s="1"/>
  <c r="C7" i="31"/>
  <c r="C16" i="31" s="1"/>
  <c r="B7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B2" i="31"/>
  <c r="M106" i="17"/>
  <c r="B104" i="17"/>
  <c r="B106" i="17" s="1"/>
  <c r="C104" i="17"/>
  <c r="D104" i="17"/>
  <c r="E104" i="17"/>
  <c r="F104" i="17"/>
  <c r="G104" i="17"/>
  <c r="H104" i="17"/>
  <c r="I104" i="17"/>
  <c r="J104" i="17"/>
  <c r="K104" i="17"/>
  <c r="K106" i="17" s="1"/>
  <c r="L104" i="17"/>
  <c r="L106" i="17" s="1"/>
  <c r="M104" i="17"/>
  <c r="N104" i="17"/>
  <c r="O104" i="17"/>
  <c r="P104" i="17"/>
  <c r="Q104" i="17"/>
  <c r="R104" i="17"/>
  <c r="S104" i="17"/>
  <c r="S106" i="17" s="1"/>
  <c r="T104" i="17"/>
  <c r="T106" i="17" s="1"/>
  <c r="U104" i="17"/>
  <c r="U106" i="17" s="1"/>
  <c r="V104" i="17"/>
  <c r="W104" i="17"/>
  <c r="X104" i="17"/>
  <c r="X106" i="17" s="1"/>
  <c r="Y104" i="17"/>
  <c r="Z104" i="17"/>
  <c r="AA104" i="17"/>
  <c r="AB104" i="17"/>
  <c r="AB106" i="17" s="1"/>
  <c r="AC104" i="17"/>
  <c r="AC106" i="17" s="1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B58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B52" i="17"/>
  <c r="R6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C45" i="17"/>
  <c r="D45" i="17"/>
  <c r="E45" i="17"/>
  <c r="F45" i="17"/>
  <c r="G45" i="17"/>
  <c r="H45" i="17"/>
  <c r="B45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B37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S65" i="17"/>
  <c r="T65" i="17"/>
  <c r="U65" i="17"/>
  <c r="V65" i="17"/>
  <c r="W65" i="17"/>
  <c r="X65" i="17"/>
  <c r="Y65" i="17"/>
  <c r="Z65" i="17"/>
  <c r="AA65" i="17"/>
  <c r="AB65" i="17"/>
  <c r="AC65" i="17"/>
  <c r="B65" i="17"/>
  <c r="Z16" i="32" l="1"/>
  <c r="N22" i="32"/>
  <c r="N24" i="32" s="1"/>
  <c r="R16" i="32"/>
  <c r="J16" i="32"/>
  <c r="V22" i="32"/>
  <c r="V24" i="32" s="1"/>
  <c r="F16" i="32"/>
  <c r="E16" i="32"/>
  <c r="D16" i="32"/>
  <c r="C16" i="32"/>
  <c r="H44" i="32"/>
  <c r="P44" i="32"/>
  <c r="X44" i="32"/>
  <c r="H57" i="32"/>
  <c r="H64" i="32" s="1"/>
  <c r="P57" i="32"/>
  <c r="P64" i="32" s="1"/>
  <c r="X57" i="32"/>
  <c r="X64" i="32" s="1"/>
  <c r="B16" i="32"/>
  <c r="D57" i="32"/>
  <c r="D64" i="32" s="1"/>
  <c r="L57" i="32"/>
  <c r="L64" i="32" s="1"/>
  <c r="T57" i="32"/>
  <c r="T64" i="32" s="1"/>
  <c r="AB57" i="32"/>
  <c r="AB64" i="32" s="1"/>
  <c r="F44" i="32"/>
  <c r="F91" i="32"/>
  <c r="F104" i="32" s="1"/>
  <c r="N91" i="32"/>
  <c r="N104" i="32" s="1"/>
  <c r="R91" i="32"/>
  <c r="R104" i="32" s="1"/>
  <c r="V44" i="32"/>
  <c r="N44" i="32"/>
  <c r="V91" i="32"/>
  <c r="V104" i="32" s="1"/>
  <c r="Y44" i="32"/>
  <c r="I57" i="32"/>
  <c r="I64" i="32" s="1"/>
  <c r="M57" i="32"/>
  <c r="M64" i="32" s="1"/>
  <c r="Q44" i="32"/>
  <c r="Q57" i="32"/>
  <c r="Q64" i="32" s="1"/>
  <c r="AC57" i="32"/>
  <c r="AC64" i="32" s="1"/>
  <c r="Y57" i="32"/>
  <c r="Y64" i="32" s="1"/>
  <c r="U57" i="32"/>
  <c r="U64" i="32" s="1"/>
  <c r="C44" i="32"/>
  <c r="K44" i="32"/>
  <c r="S44" i="32"/>
  <c r="AA44" i="32"/>
  <c r="I44" i="32"/>
  <c r="E57" i="32"/>
  <c r="E64" i="32" s="1"/>
  <c r="Y104" i="32"/>
  <c r="B91" i="32"/>
  <c r="B104" i="32" s="1"/>
  <c r="B107" i="32" s="1"/>
  <c r="C106" i="32" s="1"/>
  <c r="J91" i="32"/>
  <c r="J104" i="32" s="1"/>
  <c r="K15" i="32"/>
  <c r="K16" i="32" s="1"/>
  <c r="AA15" i="32"/>
  <c r="AA16" i="32" s="1"/>
  <c r="D44" i="32"/>
  <c r="L44" i="32"/>
  <c r="T44" i="32"/>
  <c r="AB44" i="32"/>
  <c r="Q104" i="32"/>
  <c r="AA104" i="32"/>
  <c r="G104" i="32"/>
  <c r="O104" i="32"/>
  <c r="W104" i="32"/>
  <c r="E44" i="32"/>
  <c r="M44" i="32"/>
  <c r="U44" i="32"/>
  <c r="AC44" i="32"/>
  <c r="I104" i="32"/>
  <c r="AB104" i="32"/>
  <c r="H104" i="32"/>
  <c r="P104" i="32"/>
  <c r="X104" i="32"/>
  <c r="S104" i="32"/>
  <c r="G44" i="32"/>
  <c r="O44" i="32"/>
  <c r="W44" i="32"/>
  <c r="G57" i="32"/>
  <c r="G64" i="32" s="1"/>
  <c r="O57" i="32"/>
  <c r="O64" i="32" s="1"/>
  <c r="W57" i="32"/>
  <c r="W64" i="32" s="1"/>
  <c r="C57" i="32"/>
  <c r="C64" i="32" s="1"/>
  <c r="K57" i="32"/>
  <c r="K64" i="32" s="1"/>
  <c r="S57" i="32"/>
  <c r="S64" i="32" s="1"/>
  <c r="AA57" i="32"/>
  <c r="AA64" i="32" s="1"/>
  <c r="K104" i="32"/>
  <c r="T104" i="32"/>
  <c r="S15" i="32"/>
  <c r="S16" i="32" s="1"/>
  <c r="Z91" i="32"/>
  <c r="Z104" i="32" s="1"/>
  <c r="C104" i="32"/>
  <c r="L104" i="32"/>
  <c r="D104" i="32"/>
  <c r="B44" i="32"/>
  <c r="J44" i="32"/>
  <c r="R44" i="32"/>
  <c r="Z44" i="32"/>
  <c r="B57" i="32"/>
  <c r="B64" i="32" s="1"/>
  <c r="J57" i="32"/>
  <c r="J64" i="32" s="1"/>
  <c r="R57" i="32"/>
  <c r="R64" i="32" s="1"/>
  <c r="Z57" i="32"/>
  <c r="Z64" i="32" s="1"/>
  <c r="F57" i="32"/>
  <c r="F64" i="32" s="1"/>
  <c r="N57" i="32"/>
  <c r="N64" i="32" s="1"/>
  <c r="V57" i="32"/>
  <c r="V64" i="32" s="1"/>
  <c r="E104" i="32"/>
  <c r="M104" i="32"/>
  <c r="U104" i="32"/>
  <c r="AC104" i="32"/>
  <c r="G15" i="32"/>
  <c r="G16" i="32" s="1"/>
  <c r="O15" i="32"/>
  <c r="O16" i="32" s="1"/>
  <c r="W15" i="32"/>
  <c r="W16" i="32" s="1"/>
  <c r="J106" i="17"/>
  <c r="Z106" i="17"/>
  <c r="F106" i="17"/>
  <c r="R106" i="17"/>
  <c r="Y106" i="17"/>
  <c r="Q106" i="17"/>
  <c r="D106" i="17"/>
  <c r="I106" i="17"/>
  <c r="P106" i="17"/>
  <c r="H106" i="17"/>
  <c r="W106" i="17"/>
  <c r="O106" i="17"/>
  <c r="G106" i="17"/>
  <c r="V106" i="17"/>
  <c r="N106" i="17"/>
  <c r="E106" i="17"/>
  <c r="AA106" i="17"/>
  <c r="C106" i="17"/>
  <c r="D108" i="17" s="1"/>
  <c r="D109" i="17" s="1"/>
  <c r="E24" i="31"/>
  <c r="E26" i="31" s="1"/>
  <c r="G106" i="31"/>
  <c r="G109" i="31" s="1"/>
  <c r="O106" i="31"/>
  <c r="O109" i="31" s="1"/>
  <c r="W106" i="31"/>
  <c r="W109" i="31" s="1"/>
  <c r="D17" i="31"/>
  <c r="E17" i="31" s="1"/>
  <c r="E18" i="31" s="1"/>
  <c r="V106" i="31"/>
  <c r="V109" i="31" s="1"/>
  <c r="H106" i="31"/>
  <c r="H109" i="31" s="1"/>
  <c r="X106" i="31"/>
  <c r="X109" i="31" s="1"/>
  <c r="D66" i="31"/>
  <c r="L66" i="31"/>
  <c r="T66" i="31"/>
  <c r="AB66" i="31"/>
  <c r="I106" i="31"/>
  <c r="I109" i="31" s="1"/>
  <c r="Q106" i="31"/>
  <c r="Q109" i="31" s="1"/>
  <c r="Y106" i="31"/>
  <c r="Y109" i="31" s="1"/>
  <c r="D24" i="31"/>
  <c r="D26" i="31" s="1"/>
  <c r="N106" i="31"/>
  <c r="N109" i="31" s="1"/>
  <c r="M17" i="31"/>
  <c r="M18" i="31" s="1"/>
  <c r="L17" i="31"/>
  <c r="P106" i="31"/>
  <c r="P109" i="31" s="1"/>
  <c r="U17" i="31"/>
  <c r="U18" i="31" s="1"/>
  <c r="T17" i="31"/>
  <c r="E66" i="31"/>
  <c r="M66" i="31"/>
  <c r="U66" i="31"/>
  <c r="AC66" i="31"/>
  <c r="L18" i="31"/>
  <c r="T18" i="31"/>
  <c r="AB17" i="31"/>
  <c r="AB18" i="31" s="1"/>
  <c r="AC17" i="31"/>
  <c r="AC18" i="31" s="1"/>
  <c r="G66" i="31"/>
  <c r="O66" i="31"/>
  <c r="W66" i="31"/>
  <c r="D106" i="31"/>
  <c r="D109" i="31" s="1"/>
  <c r="C24" i="31"/>
  <c r="C26" i="31" s="1"/>
  <c r="C18" i="31"/>
  <c r="E106" i="31"/>
  <c r="E109" i="31" s="1"/>
  <c r="M106" i="31"/>
  <c r="M109" i="31" s="1"/>
  <c r="U106" i="31"/>
  <c r="U109" i="31" s="1"/>
  <c r="AC106" i="31"/>
  <c r="AC109" i="31" s="1"/>
  <c r="C8" i="31"/>
  <c r="G17" i="31"/>
  <c r="G18" i="31" s="1"/>
  <c r="O17" i="31"/>
  <c r="Q17" i="31" s="1"/>
  <c r="Q18" i="31" s="1"/>
  <c r="W17" i="31"/>
  <c r="W18" i="31" s="1"/>
  <c r="K18" i="31"/>
  <c r="S18" i="31"/>
  <c r="AA18" i="31"/>
  <c r="G24" i="31"/>
  <c r="G26" i="31" s="1"/>
  <c r="O24" i="31"/>
  <c r="O26" i="31" s="1"/>
  <c r="W24" i="31"/>
  <c r="W26" i="31" s="1"/>
  <c r="D8" i="31"/>
  <c r="H17" i="31"/>
  <c r="H18" i="31" s="1"/>
  <c r="P17" i="31"/>
  <c r="P18" i="31" s="1"/>
  <c r="X17" i="31"/>
  <c r="X18" i="31" s="1"/>
  <c r="H24" i="31"/>
  <c r="H26" i="31" s="1"/>
  <c r="P24" i="31"/>
  <c r="P26" i="31" s="1"/>
  <c r="X24" i="31"/>
  <c r="X26" i="31" s="1"/>
  <c r="E8" i="31"/>
  <c r="I24" i="31"/>
  <c r="I26" i="31" s="1"/>
  <c r="B24" i="31"/>
  <c r="B26" i="31" s="1"/>
  <c r="J24" i="31"/>
  <c r="J26" i="31" s="1"/>
  <c r="R24" i="31"/>
  <c r="R26" i="31" s="1"/>
  <c r="Z24" i="31"/>
  <c r="Z26" i="31" s="1"/>
  <c r="O59" i="17"/>
  <c r="O66" i="17" s="1"/>
  <c r="F59" i="17"/>
  <c r="F66" i="17" s="1"/>
  <c r="Q59" i="17"/>
  <c r="Q66" i="17" s="1"/>
  <c r="I59" i="17"/>
  <c r="I66" i="17" s="1"/>
  <c r="G59" i="17"/>
  <c r="G66" i="17" s="1"/>
  <c r="AC46" i="17"/>
  <c r="U46" i="17"/>
  <c r="F46" i="17"/>
  <c r="R46" i="17"/>
  <c r="J46" i="17"/>
  <c r="Z46" i="17"/>
  <c r="B59" i="17"/>
  <c r="B66" i="17" s="1"/>
  <c r="AA59" i="17"/>
  <c r="AA66" i="17" s="1"/>
  <c r="S59" i="17"/>
  <c r="S66" i="17" s="1"/>
  <c r="C59" i="17"/>
  <c r="C66" i="17" s="1"/>
  <c r="K59" i="17"/>
  <c r="K66" i="17" s="1"/>
  <c r="M46" i="17"/>
  <c r="Y46" i="17"/>
  <c r="Q46" i="17"/>
  <c r="I46" i="17"/>
  <c r="X46" i="17"/>
  <c r="P46" i="17"/>
  <c r="W46" i="17"/>
  <c r="O46" i="17"/>
  <c r="G46" i="17"/>
  <c r="V46" i="17"/>
  <c r="N46" i="17"/>
  <c r="H46" i="17"/>
  <c r="B46" i="17"/>
  <c r="E46" i="17"/>
  <c r="AB46" i="17"/>
  <c r="T46" i="17"/>
  <c r="L46" i="17"/>
  <c r="D46" i="17"/>
  <c r="AA46" i="17"/>
  <c r="S46" i="17"/>
  <c r="K46" i="17"/>
  <c r="C46" i="17"/>
  <c r="J59" i="17"/>
  <c r="J66" i="17" s="1"/>
  <c r="Z59" i="17"/>
  <c r="Z66" i="17" s="1"/>
  <c r="R59" i="17"/>
  <c r="R66" i="17" s="1"/>
  <c r="AB59" i="17"/>
  <c r="AB66" i="17" s="1"/>
  <c r="T59" i="17"/>
  <c r="T66" i="17" s="1"/>
  <c r="L59" i="17"/>
  <c r="L66" i="17" s="1"/>
  <c r="Y59" i="17"/>
  <c r="Y66" i="17" s="1"/>
  <c r="P59" i="17"/>
  <c r="P66" i="17" s="1"/>
  <c r="W59" i="17"/>
  <c r="W66" i="17" s="1"/>
  <c r="V59" i="17"/>
  <c r="V66" i="17" s="1"/>
  <c r="N59" i="17"/>
  <c r="N66" i="17" s="1"/>
  <c r="X59" i="17"/>
  <c r="X66" i="17" s="1"/>
  <c r="AC59" i="17"/>
  <c r="AC66" i="17" s="1"/>
  <c r="U59" i="17"/>
  <c r="U66" i="17" s="1"/>
  <c r="M59" i="17"/>
  <c r="M66" i="17" s="1"/>
  <c r="H59" i="17"/>
  <c r="H66" i="17" s="1"/>
  <c r="E59" i="17"/>
  <c r="E66" i="17" s="1"/>
  <c r="D59" i="17"/>
  <c r="D66" i="17" s="1"/>
  <c r="Z17" i="17"/>
  <c r="V17" i="17"/>
  <c r="W17" i="17" s="1"/>
  <c r="R17" i="17"/>
  <c r="N17" i="17"/>
  <c r="J17" i="17"/>
  <c r="B17" i="17"/>
  <c r="C17" i="17" s="1"/>
  <c r="F17" i="17"/>
  <c r="AB15" i="32" l="1"/>
  <c r="AB16" i="32" s="1"/>
  <c r="T15" i="32"/>
  <c r="T16" i="32" s="1"/>
  <c r="P15" i="32"/>
  <c r="P16" i="32" s="1"/>
  <c r="C107" i="32"/>
  <c r="D106" i="32" s="1"/>
  <c r="D107" i="32" s="1"/>
  <c r="E106" i="32" s="1"/>
  <c r="E107" i="32" s="1"/>
  <c r="F106" i="32" s="1"/>
  <c r="F107" i="32" s="1"/>
  <c r="G106" i="32" s="1"/>
  <c r="G107" i="32" s="1"/>
  <c r="H106" i="32" s="1"/>
  <c r="H107" i="32" s="1"/>
  <c r="I106" i="32" s="1"/>
  <c r="I107" i="32" s="1"/>
  <c r="J106" i="32" s="1"/>
  <c r="J107" i="32" s="1"/>
  <c r="K106" i="32" s="1"/>
  <c r="K107" i="32" s="1"/>
  <c r="L106" i="32" s="1"/>
  <c r="L107" i="32" s="1"/>
  <c r="M106" i="32" s="1"/>
  <c r="M107" i="32" s="1"/>
  <c r="N106" i="32" s="1"/>
  <c r="N107" i="32" s="1"/>
  <c r="O106" i="32" s="1"/>
  <c r="O107" i="32" s="1"/>
  <c r="P106" i="32" s="1"/>
  <c r="P107" i="32" s="1"/>
  <c r="Q106" i="32" s="1"/>
  <c r="Q107" i="32" s="1"/>
  <c r="R106" i="32" s="1"/>
  <c r="R107" i="32" s="1"/>
  <c r="S106" i="32" s="1"/>
  <c r="S107" i="32" s="1"/>
  <c r="T106" i="32" s="1"/>
  <c r="T107" i="32" s="1"/>
  <c r="U106" i="32" s="1"/>
  <c r="U107" i="32" s="1"/>
  <c r="V106" i="32" s="1"/>
  <c r="V107" i="32" s="1"/>
  <c r="W106" i="32" s="1"/>
  <c r="W107" i="32" s="1"/>
  <c r="X106" i="32" s="1"/>
  <c r="X107" i="32" s="1"/>
  <c r="Y106" i="32" s="1"/>
  <c r="Y107" i="32" s="1"/>
  <c r="Z106" i="32" s="1"/>
  <c r="Z107" i="32" s="1"/>
  <c r="AA106" i="32" s="1"/>
  <c r="AA107" i="32" s="1"/>
  <c r="AB106" i="32" s="1"/>
  <c r="AB107" i="32" s="1"/>
  <c r="AC106" i="32" s="1"/>
  <c r="AC107" i="32" s="1"/>
  <c r="L15" i="32"/>
  <c r="L16" i="32" s="1"/>
  <c r="X15" i="32"/>
  <c r="X16" i="32" s="1"/>
  <c r="H15" i="32"/>
  <c r="H16" i="32" s="1"/>
  <c r="E108" i="17"/>
  <c r="Y17" i="31"/>
  <c r="Y18" i="31" s="1"/>
  <c r="I17" i="31"/>
  <c r="I18" i="31" s="1"/>
  <c r="O18" i="31"/>
  <c r="D18" i="31"/>
  <c r="X17" i="17"/>
  <c r="Y17" i="17" s="1"/>
  <c r="G17" i="17"/>
  <c r="O17" i="17"/>
  <c r="P17" i="17" s="1"/>
  <c r="Q17" i="17" s="1"/>
  <c r="AA17" i="17"/>
  <c r="AB17" i="17" s="1"/>
  <c r="K17" i="17"/>
  <c r="S17" i="17"/>
  <c r="T17" i="17" s="1"/>
  <c r="D17" i="17"/>
  <c r="E17" i="17" s="1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B14" i="17"/>
  <c r="U15" i="32" l="1"/>
  <c r="U16" i="32" s="1"/>
  <c r="Q15" i="32"/>
  <c r="Q16" i="32" s="1"/>
  <c r="AC15" i="32"/>
  <c r="AC16" i="32" s="1"/>
  <c r="I15" i="32"/>
  <c r="I16" i="32" s="1"/>
  <c r="Y15" i="32"/>
  <c r="Y16" i="32" s="1"/>
  <c r="M15" i="32"/>
  <c r="M16" i="32" s="1"/>
  <c r="E109" i="17"/>
  <c r="F108" i="17" s="1"/>
  <c r="AC17" i="17"/>
  <c r="H17" i="17"/>
  <c r="I17" i="17" s="1"/>
  <c r="U17" i="17"/>
  <c r="L17" i="17"/>
  <c r="M17" i="17" s="1"/>
  <c r="B2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C7" i="17"/>
  <c r="D7" i="17"/>
  <c r="E7" i="17"/>
  <c r="B7" i="17"/>
  <c r="AC2" i="17"/>
  <c r="Z2" i="17"/>
  <c r="AA2" i="17"/>
  <c r="AB2" i="17"/>
  <c r="U2" i="17"/>
  <c r="V2" i="17"/>
  <c r="W2" i="17"/>
  <c r="X2" i="17"/>
  <c r="Y2" i="17"/>
  <c r="K2" i="17"/>
  <c r="L2" i="17"/>
  <c r="M2" i="17"/>
  <c r="N2" i="17"/>
  <c r="O2" i="17"/>
  <c r="P2" i="17"/>
  <c r="Q2" i="17"/>
  <c r="R2" i="17"/>
  <c r="S2" i="17"/>
  <c r="T2" i="17"/>
  <c r="D2" i="17"/>
  <c r="E2" i="17"/>
  <c r="F2" i="17"/>
  <c r="G2" i="17"/>
  <c r="H2" i="17"/>
  <c r="I2" i="17"/>
  <c r="J2" i="17"/>
  <c r="C2" i="17"/>
  <c r="F109" i="17" l="1"/>
  <c r="G108" i="17" s="1"/>
  <c r="G109" i="17" s="1"/>
  <c r="H108" i="17" s="1"/>
  <c r="H109" i="17" s="1"/>
  <c r="I108" i="17" s="1"/>
  <c r="I109" i="17" s="1"/>
  <c r="J108" i="17" s="1"/>
  <c r="J109" i="17" s="1"/>
  <c r="K108" i="17" s="1"/>
  <c r="K109" i="17" s="1"/>
  <c r="L108" i="17" s="1"/>
  <c r="L109" i="17" s="1"/>
  <c r="M108" i="17" s="1"/>
  <c r="M109" i="17" s="1"/>
  <c r="N108" i="17" s="1"/>
  <c r="N109" i="17" s="1"/>
  <c r="O108" i="17" s="1"/>
  <c r="O109" i="17" s="1"/>
  <c r="P108" i="17" s="1"/>
  <c r="P109" i="17" s="1"/>
  <c r="Q108" i="17" s="1"/>
  <c r="Q109" i="17" s="1"/>
  <c r="R108" i="17" s="1"/>
  <c r="R109" i="17" s="1"/>
  <c r="S108" i="17" s="1"/>
  <c r="S109" i="17" s="1"/>
  <c r="T108" i="17" s="1"/>
  <c r="T109" i="17" s="1"/>
  <c r="U108" i="17" s="1"/>
  <c r="U109" i="17" s="1"/>
  <c r="V108" i="17" s="1"/>
  <c r="V109" i="17" s="1"/>
  <c r="W108" i="17" s="1"/>
  <c r="W109" i="17" s="1"/>
  <c r="X108" i="17" s="1"/>
  <c r="X109" i="17" s="1"/>
  <c r="Y108" i="17" s="1"/>
  <c r="Y109" i="17" s="1"/>
  <c r="Z108" i="17" s="1"/>
  <c r="Z109" i="17" s="1"/>
  <c r="AA108" i="17" s="1"/>
  <c r="AA109" i="17" s="1"/>
  <c r="AB108" i="17" s="1"/>
  <c r="AB109" i="17" s="1"/>
  <c r="AC108" i="17" s="1"/>
  <c r="AC109" i="17" s="1"/>
  <c r="S24" i="17"/>
  <c r="S26" i="17" s="1"/>
  <c r="S18" i="17"/>
  <c r="Z24" i="17"/>
  <c r="Z26" i="17" s="1"/>
  <c r="Z18" i="17"/>
  <c r="R24" i="17"/>
  <c r="R26" i="17" s="1"/>
  <c r="R18" i="17"/>
  <c r="J24" i="17"/>
  <c r="J26" i="17" s="1"/>
  <c r="J18" i="17"/>
  <c r="Y24" i="17"/>
  <c r="Y26" i="17" s="1"/>
  <c r="Y18" i="17"/>
  <c r="Q24" i="17"/>
  <c r="Q26" i="17" s="1"/>
  <c r="Q18" i="17"/>
  <c r="I24" i="17"/>
  <c r="I26" i="17" s="1"/>
  <c r="I18" i="17"/>
  <c r="K24" i="17"/>
  <c r="K26" i="17" s="1"/>
  <c r="K18" i="17"/>
  <c r="X24" i="17"/>
  <c r="X26" i="17" s="1"/>
  <c r="X18" i="17"/>
  <c r="P24" i="17"/>
  <c r="P26" i="17" s="1"/>
  <c r="P18" i="17"/>
  <c r="H24" i="17"/>
  <c r="H26" i="17" s="1"/>
  <c r="H18" i="17"/>
  <c r="W24" i="17"/>
  <c r="W26" i="17" s="1"/>
  <c r="W18" i="17"/>
  <c r="O24" i="17"/>
  <c r="O26" i="17" s="1"/>
  <c r="O18" i="17"/>
  <c r="G24" i="17"/>
  <c r="G26" i="17" s="1"/>
  <c r="G18" i="17"/>
  <c r="AB24" i="17"/>
  <c r="AB26" i="17" s="1"/>
  <c r="AB18" i="17"/>
  <c r="T24" i="17"/>
  <c r="T26" i="17" s="1"/>
  <c r="T18" i="17"/>
  <c r="AA24" i="17"/>
  <c r="AA26" i="17" s="1"/>
  <c r="AA18" i="17"/>
  <c r="V24" i="17"/>
  <c r="V26" i="17" s="1"/>
  <c r="V18" i="17"/>
  <c r="N24" i="17"/>
  <c r="N26" i="17" s="1"/>
  <c r="N18" i="17"/>
  <c r="F24" i="17"/>
  <c r="F26" i="17" s="1"/>
  <c r="F18" i="17"/>
  <c r="L24" i="17"/>
  <c r="L26" i="17" s="1"/>
  <c r="L18" i="17"/>
  <c r="AC24" i="17"/>
  <c r="AC26" i="17" s="1"/>
  <c r="AC18" i="17"/>
  <c r="U24" i="17"/>
  <c r="U26" i="17" s="1"/>
  <c r="U18" i="17"/>
  <c r="M24" i="17"/>
  <c r="M26" i="17" s="1"/>
  <c r="M18" i="17"/>
  <c r="B8" i="17"/>
  <c r="B16" i="17"/>
  <c r="B18" i="17" s="1"/>
  <c r="E16" i="17"/>
  <c r="E8" i="17"/>
  <c r="D16" i="17"/>
  <c r="D8" i="17"/>
  <c r="C16" i="17"/>
  <c r="C8" i="17"/>
  <c r="B24" i="17" l="1"/>
  <c r="B26" i="17" s="1"/>
  <c r="D24" i="17"/>
  <c r="D26" i="17" s="1"/>
  <c r="D18" i="17"/>
  <c r="E24" i="17"/>
  <c r="E26" i="17" s="1"/>
  <c r="E18" i="17"/>
  <c r="C24" i="17"/>
  <c r="C26" i="17" s="1"/>
  <c r="C18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4A4ACE-A179-4700-A7D0-F97109F31E1B}" keepAlive="1" name="ModelConnection_ExternalData_1" description="Data Model" type="5" refreshedVersion="8" minRefreshableVersion="5" saveData="1">
    <dbPr connection="Data Model Connection" command="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9710A43-7794-44B2-8FAD-6E149C1CD740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884354f5-87fd-4cd0-b2a1-b71ee85a5bc9"/>
      </ext>
    </extLst>
  </connection>
  <connection id="3" xr16:uid="{2D260DB2-9AA2-4AA3-BFE5-0BDBCFAA395C}" name="Query - Dim_Cuentas" description="Connection to the 'Dim_Cuentas' query in the workbook." type="100" refreshedVersion="8" minRefreshableVersion="5">
    <extLst>
      <ext xmlns:x15="http://schemas.microsoft.com/office/spreadsheetml/2010/11/main" uri="{DE250136-89BD-433C-8126-D09CA5730AF9}">
        <x15:connection id="902dbfcf-7228-4aaf-b4f9-389151761a5a">
          <x15:oledbPr connection="Provider=Microsoft.Mashup.OleDb.1;Data Source=$Workbook$;Location=Dim_Cuentas;Extended Properties=&quot;&quot;">
            <x15:dbTables>
              <x15:dbTable name="Dim_Cuentas"/>
            </x15:dbTables>
          </x15:oledbPr>
        </x15:connection>
      </ext>
    </extLst>
  </connection>
  <connection id="4" xr16:uid="{5653A217-D142-42DA-B2BF-CC21A1C3C8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<sst xmlns="http://schemas.openxmlformats.org/spreadsheetml/2006/main" count="19646" uniqueCount="1864">
  <si>
    <t>Reporte de Estados Financieros</t>
  </si>
  <si>
    <t>Fecha y Hora de generación: 06/10/2026 11:18:27 a.m.</t>
  </si>
  <si>
    <t>Año: 2016</t>
  </si>
  <si>
    <t>Periodo: 1er Trimestre</t>
  </si>
  <si>
    <t>Empresa: NESSUS HOTELES PERU S.A.</t>
  </si>
  <si>
    <t>Tipo: Individual</t>
  </si>
  <si>
    <t>ESTADO DE SITUACION FINANCIERA</t>
  </si>
  <si>
    <t>Cuenta</t>
  </si>
  <si>
    <t>NOTA</t>
  </si>
  <si>
    <t>31 del Marzo del 2016</t>
  </si>
  <si>
    <t>31 de Diciembre del 2015</t>
  </si>
  <si>
    <t>Activos</t>
  </si>
  <si>
    <t>Activos Corrientes</t>
  </si>
  <si>
    <t>Efectivo y Equivalentes al Efectivo</t>
  </si>
  <si>
    <t>Otros Activos Financieros</t>
  </si>
  <si>
    <t>Cuentas por cobrar comerciales y otras cuentas por cobrar</t>
  </si>
  <si>
    <t>Cuentas por Cobrar Comerciales (neto)</t>
  </si>
  <si>
    <t>Otras Cuentas por Cobrar (neto)</t>
  </si>
  <si>
    <t>Cuentas por Cobrar a Entidades Relacionadas</t>
  </si>
  <si>
    <t>Anticipos</t>
  </si>
  <si>
    <t>Inventarios</t>
  </si>
  <si>
    <t>Activos Biológicos</t>
  </si>
  <si>
    <t>Activos por Impuestos a las Ganancias</t>
  </si>
  <si>
    <t>Otros Activos no financieros</t>
  </si>
  <si>
    <t>Total Activos Corrientes Distintos de los Activos o Grupos de Activos para su Disposición Clasificados como Mantenidos para la Venta o para Distribuir a los Propietarios</t>
  </si>
  <si>
    <t>Activos no Corrientes o Grupos de Activos para su Disposición Clasificados como Mantenidos para la Venta</t>
  </si>
  <si>
    <t>Activos no Corrientes o Grupos de Activos para su Disposición Clasificados como Mantenidos para Distribuir a los Propietarios</t>
  </si>
  <si>
    <t>Activos no Corrientes o Grupos de Activos para su Disposición Clasificados como Mantenidos para la Venta o como Mantenidos para Distribuir a los Propietarios</t>
  </si>
  <si>
    <t>Total Activos Corrientes</t>
  </si>
  <si>
    <t>Activos No Corrientes</t>
  </si>
  <si>
    <t>Inversiones en subsidiarias, negocios conjuntos y asociadas</t>
  </si>
  <si>
    <t>Cuentas por Cobrar Comerciales</t>
  </si>
  <si>
    <t>Otras Cuentas por Cobrar</t>
  </si>
  <si>
    <t>Propiedades de Inversión</t>
  </si>
  <si>
    <t>Propiedades, Planta y Equipo (neto)</t>
  </si>
  <si>
    <t>Activos  intangibles distintos  de la plusvalia</t>
  </si>
  <si>
    <t>Activos por impuestos diferidos</t>
  </si>
  <si>
    <t>Plusvalía</t>
  </si>
  <si>
    <t>Total Activos No Corrientes</t>
  </si>
  <si>
    <t>TOTAL DE ACTIVOS</t>
  </si>
  <si>
    <t>Pasivos y Patrimonio</t>
  </si>
  <si>
    <t>Pasivos Corrientes</t>
  </si>
  <si>
    <t>Otros Pasivos Financieros</t>
  </si>
  <si>
    <t>Cuentas por pagar comerciales y otras cuentas por pagar</t>
  </si>
  <si>
    <t>Cuentas por Pagar Comerciales</t>
  </si>
  <si>
    <t>Otras Cuentas por Pagar</t>
  </si>
  <si>
    <t>Cuentas por Pagar a Entidades Relacionadas</t>
  </si>
  <si>
    <t>Ingresos diferidos</t>
  </si>
  <si>
    <t>Provisión por Beneficios a los Empleados</t>
  </si>
  <si>
    <t>Otras provisiones</t>
  </si>
  <si>
    <t>Pasivos por Impuestos a las Ganancias</t>
  </si>
  <si>
    <t>Otros Pasivos no financieros</t>
  </si>
  <si>
    <t>Total de Pasivos Corrientes distintos de Pasivos incluidos en Grupos de Activos para su Disposición Clasificados como Mantenidos para la Venta</t>
  </si>
  <si>
    <t>Pasivos incluidos en Grupos de Activos para su Disposición Clasificados como Mantenidos para la Venta</t>
  </si>
  <si>
    <t>Total Pasivos Corrientes</t>
  </si>
  <si>
    <t>Pasivos No Corrientes</t>
  </si>
  <si>
    <t>Ingresos Diferidos</t>
  </si>
  <si>
    <t>Pasivos por impuestos diferidos</t>
  </si>
  <si>
    <t>Otros pasivos no financieros</t>
  </si>
  <si>
    <t>Total Pasivos No Corrientes</t>
  </si>
  <si>
    <t>Total Pasivos</t>
  </si>
  <si>
    <t>Patrimonio</t>
  </si>
  <si>
    <t>Capital Emitido</t>
  </si>
  <si>
    <t>Primas de Emisión</t>
  </si>
  <si>
    <t>Acciones de Inversión</t>
  </si>
  <si>
    <t>Acciones Propias en Cartera</t>
  </si>
  <si>
    <t>Otras Reservas de Capital</t>
  </si>
  <si>
    <t>Resultados Acumulados</t>
  </si>
  <si>
    <t>Otras Reservas de Patrimonio</t>
  </si>
  <si>
    <t>(3,770)</t>
  </si>
  <si>
    <t>(4,367)</t>
  </si>
  <si>
    <t>Total Patrimonio</t>
  </si>
  <si>
    <t>TOTAL PASIVO Y PATRIMONIO</t>
  </si>
  <si>
    <t>ESTADO DE RESULTADOS</t>
  </si>
  <si>
    <t>Específico del 01 de Enero al 31 de Marzo del 2016</t>
  </si>
  <si>
    <t>Específico del 01 de Enero al 31 de Marzo del 2015</t>
  </si>
  <si>
    <t>Acumulado del 01 de Enero al 31 de Marzo del 2016</t>
  </si>
  <si>
    <t>Acumulado del 01 de Enero al 31 de Marzo del 2015</t>
  </si>
  <si>
    <t>Ingresos de actividades ordinarias</t>
  </si>
  <si>
    <t>Costo de Ventas</t>
  </si>
  <si>
    <t>(19,808)</t>
  </si>
  <si>
    <t>(16,712)</t>
  </si>
  <si>
    <t>Ganancia (Pérdida) Bruta</t>
  </si>
  <si>
    <t>Gastos de Ventas y Distribución</t>
  </si>
  <si>
    <t>(1,611)</t>
  </si>
  <si>
    <t>(1,242)</t>
  </si>
  <si>
    <t>Gastos de Administración</t>
  </si>
  <si>
    <t>(7,758)</t>
  </si>
  <si>
    <t>(6,937)</t>
  </si>
  <si>
    <t>Ganancia (Pérdida) de la baja en Activos Financieros medidos al Costo Amortizado</t>
  </si>
  <si>
    <t>Otros Ingresos Operativos</t>
  </si>
  <si>
    <t>Otros Gastos Operativos</t>
  </si>
  <si>
    <t>(269)</t>
  </si>
  <si>
    <t>(178)</t>
  </si>
  <si>
    <t>Otras ganancias (pérdidas)</t>
  </si>
  <si>
    <t>Ganancia (Pérdida) por actividades de operación</t>
  </si>
  <si>
    <t>(691)</t>
  </si>
  <si>
    <t>Ingresos Financieros</t>
  </si>
  <si>
    <t>Gastos Financieros</t>
  </si>
  <si>
    <t>(1,902)</t>
  </si>
  <si>
    <t>(1,211)</t>
  </si>
  <si>
    <t>Diferencias de Cambio neto</t>
  </si>
  <si>
    <t>(1,172)</t>
  </si>
  <si>
    <t>Otros ingresos (gastos) de las subsidiarias,negocios conjuntos y asociadas</t>
  </si>
  <si>
    <t>Ganancias (Pérdidas) que surgen de la Diferencia entre el Valor Libro Anterior y el Valor Justo de Activos Financieros Reclasificados Medidos a Valor Razonable</t>
  </si>
  <si>
    <t>Diferencia entre el importe en libros de los activos distribuidos y el importe en libros del dividendo a pagar</t>
  </si>
  <si>
    <t>Resultado antes de Impuesto a las Ganancias</t>
  </si>
  <si>
    <t>(774)</t>
  </si>
  <si>
    <t>(2,233)</t>
  </si>
  <si>
    <t>Gasto por Impuesto a las Ganancias</t>
  </si>
  <si>
    <t>(35)</t>
  </si>
  <si>
    <t>Ganancia (Pérdida) Neta de Operaciones  Continuadas</t>
  </si>
  <si>
    <t>(2,268)</t>
  </si>
  <si>
    <t>Ganancia (pérdida)  procedente de operaciones discontinuadas, neta del impuesto a las ganancias</t>
  </si>
  <si>
    <t>Ganancia (Pérdida) Neta del Ejercicio</t>
  </si>
  <si>
    <t>Ganancias (Pérdida) por Acción:</t>
  </si>
  <si>
    <t>Ganancias (pérdida) básica por acción:</t>
  </si>
  <si>
    <t>Básica por acción ordinaria en operaciones continuadas</t>
  </si>
  <si>
    <t>(0.013)</t>
  </si>
  <si>
    <t>(0.037)</t>
  </si>
  <si>
    <t>Básica por acción ordinaria en operaciones discontinuadas</t>
  </si>
  <si>
    <t>Ganancias (pérdida) básica por acción ordinaria</t>
  </si>
  <si>
    <t>Básica por Acción de Inversión en Operaciones Continuadas</t>
  </si>
  <si>
    <t>Básica por Acción de Inversión en Operaciones Discontinuadas</t>
  </si>
  <si>
    <t>Ganancias (Pérdida) Básica por Acción Inversión</t>
  </si>
  <si>
    <t>Ganancias (pérdida) diluida por acción:</t>
  </si>
  <si>
    <t>Diluida por acción ordinaria en operaciones continuadas</t>
  </si>
  <si>
    <t>Diluida por acción ordinaria en operaciones discontinuadas</t>
  </si>
  <si>
    <t>Ganancias (pérdida) diluida por acción ordinaria</t>
  </si>
  <si>
    <t>Diluida por Acción de Inversión en Operaciones Continuadas</t>
  </si>
  <si>
    <t>Diluida por Acción de Inversión en Operaciones Discontinuadas</t>
  </si>
  <si>
    <t>Ganancias (Pérdida) Diluida por Acción Inversión</t>
  </si>
  <si>
    <t>ESTADO DE CAMBIOS EN EL PATRIMONIO NETO</t>
  </si>
  <si>
    <t>Coberturas de Flujos de Efectivo</t>
  </si>
  <si>
    <t>Coberturas de inversión neta de negocios en el extranjero</t>
  </si>
  <si>
    <t>Inversiones en instrumentos de patrimonio medidos al valor razonable</t>
  </si>
  <si>
    <t>Diferencias de Cambio por Conversión de Operaciones en el Extranjero</t>
  </si>
  <si>
    <t>Activos no corrientes o grupos de activos mantenidos para la venta</t>
  </si>
  <si>
    <t>Superávit de Revaluación</t>
  </si>
  <si>
    <t>Ganancia (perdida) actuariales en plan de beneficios definidos</t>
  </si>
  <si>
    <t>Cambios en el valor razonable de pasivos financieros atribuibles a cambios en el riesgo de crédito del pasivo</t>
  </si>
  <si>
    <t>SALDOS AL 1ERO DE ENERO DE 2015</t>
  </si>
  <si>
    <t>(3,159)</t>
  </si>
  <si>
    <t>1.       Cambios en Políticas Contables</t>
  </si>
  <si>
    <t>2.       Corrección de Errores</t>
  </si>
  <si>
    <t>3. Saldo Inicial Reexpresado</t>
  </si>
  <si>
    <t>4. Cambios en Patrimonio:</t>
  </si>
  <si>
    <t>5. Resultado Integral:</t>
  </si>
  <si>
    <t>6.       Ganancia (Pérdida) Neta del Ejercicio</t>
  </si>
  <si>
    <t>7.       Otro Resultado Integral</t>
  </si>
  <si>
    <t>(482)</t>
  </si>
  <si>
    <t>8.       Resultado Integral Total del Ejercicio</t>
  </si>
  <si>
    <t>(2,750)</t>
  </si>
  <si>
    <t>9. Dividendos en Efectivo Declarados</t>
  </si>
  <si>
    <t>10. Emisión (reducción) de patrimonio</t>
  </si>
  <si>
    <t>11. Reducción o Amortización de Acciones de Inversión</t>
  </si>
  <si>
    <t>12. Incremento (Disminución) por otras Aportaciones de los Propietarios</t>
  </si>
  <si>
    <t>13. Disminución (Incremento) por otras Distribuciones a los Propietarios</t>
  </si>
  <si>
    <t>14. Incremento (Disminución) por Cambios en la Participación de Subsidiarias que no impliquen Pérdidas de Control</t>
  </si>
  <si>
    <t>15. Incremento (disminución) por transacciones con acciones propias en cartera</t>
  </si>
  <si>
    <t>16. Incremento (Disminución) por Transferencia y Otros Cambios de patrimonio</t>
  </si>
  <si>
    <t>Total incremento (disminución) en el patrimonio</t>
  </si>
  <si>
    <t>SALDOS AL 31 DE MARZO DE     2015</t>
  </si>
  <si>
    <t>(3,641)</t>
  </si>
  <si>
    <t>SALDOS AL 1ERO DE ENERO DE 2016</t>
  </si>
  <si>
    <t>(177)</t>
  </si>
  <si>
    <t>SALDOS AL 31 DE MARZO DE     2016</t>
  </si>
  <si>
    <t>ESTADO DE FLUJO DE EFECTIVO</t>
  </si>
  <si>
    <t>Del 01 de Enero al 31 de Marzo del 2016</t>
  </si>
  <si>
    <t>Del 01 de Enero al 31 de Marzo del 2015</t>
  </si>
  <si>
    <t>Flujos de efectivo de actividad de operación</t>
  </si>
  <si>
    <t>Clases de cobros en efectivo por actividades de operación</t>
  </si>
  <si>
    <t>Venta de Bienes y Prestación de Servicios</t>
  </si>
  <si>
    <t>Regalías, cuotas,  comisiones, otros ingresos de actividades ordinarias</t>
  </si>
  <si>
    <t>Contratos mantenidos con propósito de intermediación o para negociar</t>
  </si>
  <si>
    <t>Arredamiento y posterior venta de esos activos</t>
  </si>
  <si>
    <t>Otros cobros de efectivo relativos a la actividad de operación</t>
  </si>
  <si>
    <t>Clases de pagos en efectivo por actividades de operación</t>
  </si>
  <si>
    <t>Proveedores de Bienes y Servicios</t>
  </si>
  <si>
    <t>(16,197)</t>
  </si>
  <si>
    <t>(8,217)</t>
  </si>
  <si>
    <t>Pagos a y por cuenta de los empleados</t>
  </si>
  <si>
    <t>(7,184)</t>
  </si>
  <si>
    <t>(6,924)</t>
  </si>
  <si>
    <t>Elaboración o adquisición de activos para arrendar y otros mantenidos para la venta</t>
  </si>
  <si>
    <t>Otros Pagos de Efectivo Relativos a la Actividad  de Operación</t>
  </si>
  <si>
    <t>(2,138)</t>
  </si>
  <si>
    <t>(4,682)</t>
  </si>
  <si>
    <t>Flujos de efectivo y equivalente al efectivo procedente de (utilizados en) operaciones</t>
  </si>
  <si>
    <t>Intereses recibidos (no incluidos en la Actividad de Inversión)</t>
  </si>
  <si>
    <t>Intereses pagados (no incluidos en la Actividad de Financiación)</t>
  </si>
  <si>
    <t>(1,771)</t>
  </si>
  <si>
    <t>(872)</t>
  </si>
  <si>
    <t>Dividendos Recibidos (no incluidos en la Actividad de Inversión)</t>
  </si>
  <si>
    <t>Dividendos pagados (no incluidos en la Actividad de Financiación)</t>
  </si>
  <si>
    <t>Impuestos a las ganancias (pagados) reembolsados</t>
  </si>
  <si>
    <t>Otros cobros (pagos) de efectivo</t>
  </si>
  <si>
    <t>(2,665)</t>
  </si>
  <si>
    <t>Flujos de Efectivo y Equivalente al Efectivo Procedente de (Utilizados en) Actividades de Operación</t>
  </si>
  <si>
    <t>(831)</t>
  </si>
  <si>
    <t>Flujos de efectivo de actividad de inversión</t>
  </si>
  <si>
    <t>Clases de cobros en efectivo por actividades de inversión</t>
  </si>
  <si>
    <t>Reembolso de Adelantos de Prestamos y Préstamos Concedidos a Terceros</t>
  </si>
  <si>
    <t>Pérdida de control de subsidiarias u otros negocios</t>
  </si>
  <si>
    <t>Reembolsos recibidos de préstamos a entidades relacionadas</t>
  </si>
  <si>
    <t>Venta de  Instrumentos Financieros de Patrimonio o Deuda de Otras Entidades</t>
  </si>
  <si>
    <t>Contratos Derivados (futuro, a término, opciones)</t>
  </si>
  <si>
    <t>Venta  de Participaciones en Negocios Conjuntos, Neto del Efectivo Desapropiado</t>
  </si>
  <si>
    <t>Venta de Propiedades, Planta y Equipo</t>
  </si>
  <si>
    <t>Venta de Activos Intangibles</t>
  </si>
  <si>
    <t>Venta de Otros Activos de largo plazo</t>
  </si>
  <si>
    <t>Subvenciones del gobierno</t>
  </si>
  <si>
    <t>Intereses Recibidos</t>
  </si>
  <si>
    <t>Dividendos Recibidos</t>
  </si>
  <si>
    <t>Clases de pagos en efectivo por actividades de inversión</t>
  </si>
  <si>
    <t>Anticipos y Prestamos Concedidos a Terceros</t>
  </si>
  <si>
    <t>Obtener el control de subsidiarias u otros negocios</t>
  </si>
  <si>
    <t>Prestamos concedidos a entidades relacionadas</t>
  </si>
  <si>
    <t>Compra de Instrumentos Financieros de Patrimonio o Deuda de Otras Entidades</t>
  </si>
  <si>
    <t>Compra de Subsidiarias, Neto del Efectivo Adquirido</t>
  </si>
  <si>
    <t>Compra de Participaciones en Negocios Conjuntos,  Neto del Efectivo Adquirido</t>
  </si>
  <si>
    <t>Compra de Propiedades, Planta  y Equipo</t>
  </si>
  <si>
    <t>(7,901)</t>
  </si>
  <si>
    <t>(5,098)</t>
  </si>
  <si>
    <t>Compra de Activos Intangibles</t>
  </si>
  <si>
    <t>(2,116)</t>
  </si>
  <si>
    <t>(4)</t>
  </si>
  <si>
    <t>Compra de Otros Activos de largo plazo</t>
  </si>
  <si>
    <t>Otros cobros (pagos) de efectivo relativos a la actividad de inversión</t>
  </si>
  <si>
    <t>Flujos de Efectivo y Equivalente al Efectivo Procedente de (Utilizados en) Actividades de Inversión</t>
  </si>
  <si>
    <t>(10,017)</t>
  </si>
  <si>
    <t>(5,102)</t>
  </si>
  <si>
    <t>Flujos de efectivo de actividad de financiación</t>
  </si>
  <si>
    <t>Clases de cobros en efectivo por actividades de financiación:</t>
  </si>
  <si>
    <t>Obtención de Préstamos</t>
  </si>
  <si>
    <t>Préstamos de entidades relacionadas</t>
  </si>
  <si>
    <t>Cambios en las participaciones en la propiedad de subsidiarias que no resultan en pérdida de control</t>
  </si>
  <si>
    <t>Emisión de Acciones</t>
  </si>
  <si>
    <t>Emisión de  Otros Instrumentos de Patrimonio</t>
  </si>
  <si>
    <t>Clases de pagos en efectivo por actividades de financiación:</t>
  </si>
  <si>
    <t>Amortización o pago de Préstamos</t>
  </si>
  <si>
    <t>(3,558)</t>
  </si>
  <si>
    <t>(2,568)</t>
  </si>
  <si>
    <t>Pasivos por Arrendamiento Financiero</t>
  </si>
  <si>
    <t>Recompra o Rescate de Acciones de la Entidad (Acciones en Cartera)</t>
  </si>
  <si>
    <t>Adquisición de Otras Participaciones en el Patrimonio</t>
  </si>
  <si>
    <t>Intereses pagados</t>
  </si>
  <si>
    <t>Dividendos pagados</t>
  </si>
  <si>
    <t>Otros cobros (pagos) de efectivo relativos a la actividad de financiación</t>
  </si>
  <si>
    <t>Flujos de Efectivo y Equivalente al Efectivo Procedente de (Utilizados en) Actividades de Financiación</t>
  </si>
  <si>
    <t>Aumento (Disminución) Neto de Efectivo y Equivalente al Efectivo, antes de las Variaciones en las Tasas de Cambio</t>
  </si>
  <si>
    <t>(14,406)</t>
  </si>
  <si>
    <t>(5,272)</t>
  </si>
  <si>
    <t>Efectos de las Variaciones en las Tasas de Cambio sobre el Efectivo y Equivalentes al Efectivo</t>
  </si>
  <si>
    <t>Aumento (Disminución) Neto de Efectivo y Equivalente al Efectivo</t>
  </si>
  <si>
    <t>Efectivo y Equivalente al Efectivo al Inicio del Ejercicio</t>
  </si>
  <si>
    <t>Efectivo y Equivalente al Efectivo al Finalizar el Ejercicio</t>
  </si>
  <si>
    <t xml:space="preserve">ESTADO DE RESULTADOS INTEGRALES </t>
  </si>
  <si>
    <t>Ganancia (Pérdida)  Neta del Ejercicio</t>
  </si>
  <si>
    <t>Componentes de Otro Resultado Integral:</t>
  </si>
  <si>
    <t>Variación Neta por Coberturas del Flujo de Efectivo</t>
  </si>
  <si>
    <t>Ganancias (Pérdidas) de Inversiones en Instrumentos de Patrimonio al valor razonable</t>
  </si>
  <si>
    <t>Diferencia de Cambio  por Conversión de Operaciones en el Extranjero</t>
  </si>
  <si>
    <t>Variación neta de activos no corrientes o grupos de activos mantenidos para la venta</t>
  </si>
  <si>
    <t>Ganancia (pérdida) actuariales en plan de beneficios definidos</t>
  </si>
  <si>
    <t>(651)</t>
  </si>
  <si>
    <t>Otro Resultado Integral antes de Impuestos</t>
  </si>
  <si>
    <t>Impuesto  a las Ganancias relacionado con Componentes de Otro Resultado Integral</t>
  </si>
  <si>
    <t>(210)</t>
  </si>
  <si>
    <t>Suma de Impuestos a las Ganancias Relacionados con Componentes de Otro Resultado Integral</t>
  </si>
  <si>
    <t>Otros Resultado Integral</t>
  </si>
  <si>
    <t>Resultado  Integral Total del Ejercicio, neto del Impuesto a las Ganancias</t>
  </si>
  <si>
    <t>FIRMANTES</t>
  </si>
  <si>
    <t>Firmante</t>
  </si>
  <si>
    <t>Fecha</t>
  </si>
  <si>
    <t>ANÁLISIS Y DISCUSIÓN DE GERENCIA TI</t>
  </si>
  <si>
    <t>Paul Steven Esquivel Sosa|CPC Matricula Nro.</t>
  </si>
  <si>
    <t>Renzo Ricardo Temoche Romero|Representante Legal</t>
  </si>
  <si>
    <t>ARCHIVO ESTRUCTURADO XBRL</t>
  </si>
  <si>
    <t>DECLARACIÓN DE RESPONSABILIDAD TI</t>
  </si>
  <si>
    <t>NOTAS A LOS ESTADOS FINANCIEROS INTERMEDIOS TI</t>
  </si>
  <si>
    <t>Fecha y Hora de generación: 06/10/2026 11:17:57 a.m.</t>
  </si>
  <si>
    <t>Periodo: 2do Trimestre</t>
  </si>
  <si>
    <t>30 de Junio del 2016</t>
  </si>
  <si>
    <t>(3,217)</t>
  </si>
  <si>
    <t>Específico del 01 de Abril al 30 de Junio del 2016</t>
  </si>
  <si>
    <t>Específico del 01 de Abril al 30 de Junio del 2015</t>
  </si>
  <si>
    <t>Acumulado del 01 de Enero al 30 de Junio del  2016</t>
  </si>
  <si>
    <t>Acumulado del 01 de Enero al 30 de Junio del  2015</t>
  </si>
  <si>
    <t>(23,232)</t>
  </si>
  <si>
    <t>(19,438)</t>
  </si>
  <si>
    <t>(43,040)</t>
  </si>
  <si>
    <t>(36,150)</t>
  </si>
  <si>
    <t>(1,587)</t>
  </si>
  <si>
    <t>(1,349)</t>
  </si>
  <si>
    <t>(3,198)</t>
  </si>
  <si>
    <t>(2,591)</t>
  </si>
  <si>
    <t>(9,526)</t>
  </si>
  <si>
    <t>(8,739)</t>
  </si>
  <si>
    <t>(17,284)</t>
  </si>
  <si>
    <t>(15,676)</t>
  </si>
  <si>
    <t>(219)</t>
  </si>
  <si>
    <t>(575)</t>
  </si>
  <si>
    <t>(488)</t>
  </si>
  <si>
    <t>(753)</t>
  </si>
  <si>
    <t>(1,868)</t>
  </si>
  <si>
    <t>(1,322)</t>
  </si>
  <si>
    <t>(2,533)</t>
  </si>
  <si>
    <t>(1,220)</t>
  </si>
  <si>
    <t>(2,392)</t>
  </si>
  <si>
    <t>(1,449)</t>
  </si>
  <si>
    <t>(599)</t>
  </si>
  <si>
    <t>(634)</t>
  </si>
  <si>
    <t>(2,083)</t>
  </si>
  <si>
    <t>(0.034)</t>
  </si>
  <si>
    <t>(638)</t>
  </si>
  <si>
    <t>(2,721)</t>
  </si>
  <si>
    <t>(267)</t>
  </si>
  <si>
    <t>(2,350)</t>
  </si>
  <si>
    <t>(2,693)</t>
  </si>
  <si>
    <t>SALDOS AL 30 DE JUNIO DE     2015</t>
  </si>
  <si>
    <t>(3,797)</t>
  </si>
  <si>
    <t>(1,670)</t>
  </si>
  <si>
    <t>(72)</t>
  </si>
  <si>
    <t>(391)</t>
  </si>
  <si>
    <t>SALDOS AL 30 DE JUNIO DE     2016</t>
  </si>
  <si>
    <t>Del 01 de Enero al 30 de Junio del  2016</t>
  </si>
  <si>
    <t>Del 01 de Enero al 30 de Junio del  2015</t>
  </si>
  <si>
    <t>(25,332)</t>
  </si>
  <si>
    <t>(20,322)</t>
  </si>
  <si>
    <t>(16,135)</t>
  </si>
  <si>
    <t>(15,168)</t>
  </si>
  <si>
    <t>(8,785)</t>
  </si>
  <si>
    <t>(13,606)</t>
  </si>
  <si>
    <t>(1,776)</t>
  </si>
  <si>
    <t>(17,893)</t>
  </si>
  <si>
    <t>(12,394)</t>
  </si>
  <si>
    <t>(5,971)</t>
  </si>
  <si>
    <t>(3)</t>
  </si>
  <si>
    <t>(23,864)</t>
  </si>
  <si>
    <t>(12,397)</t>
  </si>
  <si>
    <t>(2,863)</t>
  </si>
  <si>
    <t>(3,544)</t>
  </si>
  <si>
    <t>(2,829)</t>
  </si>
  <si>
    <t>(5,692)</t>
  </si>
  <si>
    <t>(16,420)</t>
  </si>
  <si>
    <t>(5,395)</t>
  </si>
  <si>
    <t>(211)</t>
  </si>
  <si>
    <t>(862)</t>
  </si>
  <si>
    <t>(194)</t>
  </si>
  <si>
    <t>(404)</t>
  </si>
  <si>
    <t>(156)</t>
  </si>
  <si>
    <t>Fecha y Hora de generación: 06/10/2026 11:15:42 a.m.</t>
  </si>
  <si>
    <t>Periodo: 3er Trimestre</t>
  </si>
  <si>
    <t>30 de Setiembre del 2016</t>
  </si>
  <si>
    <t>(3,211)</t>
  </si>
  <si>
    <t>Específico del 01 de Julio al 30 de Septiembre del 2016</t>
  </si>
  <si>
    <t>Específico del 01 de Julio al 30 de Septiembre del 2015</t>
  </si>
  <si>
    <t>Acumulado del 01 de Enero al 30 de Septiembre del 2016</t>
  </si>
  <si>
    <t>Acumulado del 01 de Enero al 30 de Septiembre del 2015</t>
  </si>
  <si>
    <t>(25,183)</t>
  </si>
  <si>
    <t>(21,871)</t>
  </si>
  <si>
    <t>(68,221)</t>
  </si>
  <si>
    <t>(58,021)</t>
  </si>
  <si>
    <t>(1,432)</t>
  </si>
  <si>
    <t>(1,647)</t>
  </si>
  <si>
    <t>(4,630)</t>
  </si>
  <si>
    <t>(4,238)</t>
  </si>
  <si>
    <t>(8,696)</t>
  </si>
  <si>
    <t>(8,523)</t>
  </si>
  <si>
    <t>(25,980)</t>
  </si>
  <si>
    <t>(24,199)</t>
  </si>
  <si>
    <t>(295)</t>
  </si>
  <si>
    <t>(361)</t>
  </si>
  <si>
    <t>(783)</t>
  </si>
  <si>
    <t>(1,114)</t>
  </si>
  <si>
    <t>(1,906)</t>
  </si>
  <si>
    <t>(2,105)</t>
  </si>
  <si>
    <t>(5,676)</t>
  </si>
  <si>
    <t>(4,638)</t>
  </si>
  <si>
    <t>(2,984)</t>
  </si>
  <si>
    <t>(1,081)</t>
  </si>
  <si>
    <t>(3,473)</t>
  </si>
  <si>
    <t>(495)</t>
  </si>
  <si>
    <t>(80)</t>
  </si>
  <si>
    <t>(714)</t>
  </si>
  <si>
    <t>(958)</t>
  </si>
  <si>
    <t>(491)</t>
  </si>
  <si>
    <t>(1,480)</t>
  </si>
  <si>
    <t>(1,308)</t>
  </si>
  <si>
    <t>(1,971)</t>
  </si>
  <si>
    <t>SALDOS AL 30 DE SETIEMBRE DE 2015</t>
  </si>
  <si>
    <t>(4,117)</t>
  </si>
  <si>
    <t>SALDOS AL 30 DE SETIEMBRE DE 2016</t>
  </si>
  <si>
    <t>Del 01 de Enero al 30 de Septiembre del 2016</t>
  </si>
  <si>
    <t>Del 01 de Enero al 30 de Septiembre del 2015</t>
  </si>
  <si>
    <t>(41,949)</t>
  </si>
  <si>
    <t>(33,730)</t>
  </si>
  <si>
    <t>(26,261)</t>
  </si>
  <si>
    <t>(23,680)</t>
  </si>
  <si>
    <t>(16,984)</t>
  </si>
  <si>
    <t>(26,404)</t>
  </si>
  <si>
    <t>(26,609)</t>
  </si>
  <si>
    <t>(16,108)</t>
  </si>
  <si>
    <t>(5,728)</t>
  </si>
  <si>
    <t>(56)</t>
  </si>
  <si>
    <t>(31,720)</t>
  </si>
  <si>
    <t>(16,164)</t>
  </si>
  <si>
    <t>(6,403)</t>
  </si>
  <si>
    <t>(65,195)</t>
  </si>
  <si>
    <t>(4,221)</t>
  </si>
  <si>
    <t>(3,341)</t>
  </si>
  <si>
    <t>(1,157)</t>
  </si>
  <si>
    <t>(4,932)</t>
  </si>
  <si>
    <t>(17,621)</t>
  </si>
  <si>
    <t>(443)</t>
  </si>
  <si>
    <t>(1,295)</t>
  </si>
  <si>
    <t>(2)</t>
  </si>
  <si>
    <t>(406)</t>
  </si>
  <si>
    <t>(330)</t>
  </si>
  <si>
    <t>Fecha y Hora de generación: 06/10/2026 11:15:17 a.m.</t>
  </si>
  <si>
    <t>Periodo: 4to Trimestre</t>
  </si>
  <si>
    <t>31 de Diciembre del 2016</t>
  </si>
  <si>
    <t>(2,698)</t>
  </si>
  <si>
    <t>Específico del 01 de Octubre al 31 de Diciembre del 2016</t>
  </si>
  <si>
    <t>Específico del 01 de Octubre al 31 de Diciembre del 2015</t>
  </si>
  <si>
    <t>Acumulado del 01 de Enero al 31 de Diciembre del 2016</t>
  </si>
  <si>
    <t>Acumulado del 01 de Enero al 31 de Diciembre del 2015</t>
  </si>
  <si>
    <t>(24,445)</t>
  </si>
  <si>
    <t>(22,188)</t>
  </si>
  <si>
    <t>(92,666)</t>
  </si>
  <si>
    <t>(80,209)</t>
  </si>
  <si>
    <t>(1,354)</t>
  </si>
  <si>
    <t>(1,856)</t>
  </si>
  <si>
    <t>(5,984)</t>
  </si>
  <si>
    <t>(6,094)</t>
  </si>
  <si>
    <t>(8,342)</t>
  </si>
  <si>
    <t>(6,145)</t>
  </si>
  <si>
    <t>(34,322)</t>
  </si>
  <si>
    <t>(30,344)</t>
  </si>
  <si>
    <t>(352)</t>
  </si>
  <si>
    <t>(744)</t>
  </si>
  <si>
    <t>(1,135)</t>
  </si>
  <si>
    <t>(1,858)</t>
  </si>
  <si>
    <t>(1,899)</t>
  </si>
  <si>
    <t>(1,838)</t>
  </si>
  <si>
    <t>(7,575)</t>
  </si>
  <si>
    <t>(6,476)</t>
  </si>
  <si>
    <t>(3,604)</t>
  </si>
  <si>
    <t>(7,077)</t>
  </si>
  <si>
    <t>(233)</t>
  </si>
  <si>
    <t>(455)</t>
  </si>
  <si>
    <t>(31)</t>
  </si>
  <si>
    <t>(2,205)</t>
  </si>
  <si>
    <t>(2,700)</t>
  </si>
  <si>
    <t>(437)</t>
  </si>
  <si>
    <t>(1,208)</t>
  </si>
  <si>
    <t>(1,482)</t>
  </si>
  <si>
    <t>(1,064)</t>
  </si>
  <si>
    <t>(1,977)</t>
  </si>
  <si>
    <t>SALDOS AL 31 DE DICIEMBRE DE 2015</t>
  </si>
  <si>
    <t>SALDOS AL 31 DE DICIEMBRE DE 2016</t>
  </si>
  <si>
    <t>Del 01 de Enero al 31 de Diciembre del 2016</t>
  </si>
  <si>
    <t>Del 01 de Enero al 31 de Diciembre del 2015</t>
  </si>
  <si>
    <t>(58,776)</t>
  </si>
  <si>
    <t>(57,831)</t>
  </si>
  <si>
    <t>(37,361)</t>
  </si>
  <si>
    <t>(33,513)</t>
  </si>
  <si>
    <t>(22,166)</t>
  </si>
  <si>
    <t>(24,075)</t>
  </si>
  <si>
    <t>(890)</t>
  </si>
  <si>
    <t>(878)</t>
  </si>
  <si>
    <t>(3,750)</t>
  </si>
  <si>
    <t>(40,990)</t>
  </si>
  <si>
    <t>(30,443)</t>
  </si>
  <si>
    <t>(138)</t>
  </si>
  <si>
    <t>(2,038)</t>
  </si>
  <si>
    <t>(32,864)</t>
  </si>
  <si>
    <t>(11,602)</t>
  </si>
  <si>
    <t>(40,206)</t>
  </si>
  <si>
    <t>(5,602)</t>
  </si>
  <si>
    <t>(2,606)</t>
  </si>
  <si>
    <t>(5,930)</t>
  </si>
  <si>
    <t>(17,281)</t>
  </si>
  <si>
    <t>(337)</t>
  </si>
  <si>
    <t>(1,632)</t>
  </si>
  <si>
    <t>(1)</t>
  </si>
  <si>
    <t>(249)</t>
  </si>
  <si>
    <t>Fecha y Hora de generación: 06/10/2026 11:12:50 a.m.</t>
  </si>
  <si>
    <t>Año: 2017</t>
  </si>
  <si>
    <t>31 del Marzo del 2017</t>
  </si>
  <si>
    <t>Cuentas por Cobrar Comerciales y Otras Cuentas por Cobrar</t>
  </si>
  <si>
    <t>Otros Activos no Financieros</t>
  </si>
  <si>
    <t>Activos Corrientes Distintos al Efectivo Pignorados como Garantía Colateral</t>
  </si>
  <si>
    <t>Total Activos Corrientes Distintos de los Activos no Corrientes o Grupos de Activos para su Disposición Clasificados como Mantenidos para la Venta o para Distribuir a los Propietarios</t>
  </si>
  <si>
    <t>Inversiones en Subsidiarias, Negocios Conjuntos y Asociadas</t>
  </si>
  <si>
    <t>Propiedades, Planta y Equipo</t>
  </si>
  <si>
    <t>Activos Intangibles Distintos de la Plusvalía</t>
  </si>
  <si>
    <t>Activos por Impuestos Diferidos</t>
  </si>
  <si>
    <t>Activos por Impuestos Corrientes, no Corrientes</t>
  </si>
  <si>
    <t>Activos no Corrientes Distintos al Efectivo Pignorados como Garantía Colateral</t>
  </si>
  <si>
    <t>Cuentas por Pagar Comerciales y Otras Cuentas por Pagar</t>
  </si>
  <si>
    <t>Otras Provisiones</t>
  </si>
  <si>
    <t>Otros Pasivos no Financieros</t>
  </si>
  <si>
    <t>Total de Pasivos Corrientes Distintos de Pasivos Incluidos en Grupos de Activos para su Disposición Clasificados como Mantenidos para la Venta</t>
  </si>
  <si>
    <t>Pasivos por Impuestos Diferidos</t>
  </si>
  <si>
    <t>Pasivos por Impuestos Corrientes, no Corriente</t>
  </si>
  <si>
    <t>(2,697)</t>
  </si>
  <si>
    <t>Específico del 01 de Enero al 31 de Marzo del 2017</t>
  </si>
  <si>
    <t>Acumulado del 01 de Enero al 31 de Marzo del 2017</t>
  </si>
  <si>
    <t>Ingresos de Actividades Ordinarias</t>
  </si>
  <si>
    <t>(22,371)</t>
  </si>
  <si>
    <t>(1,820)</t>
  </si>
  <si>
    <t>(9,017)</t>
  </si>
  <si>
    <t>(310)</t>
  </si>
  <si>
    <t>Otras Ganancias (Pérdidas)</t>
  </si>
  <si>
    <t>Ganancia (Pérdida) Operativa</t>
  </si>
  <si>
    <t>(2,413)</t>
  </si>
  <si>
    <t>Ganancia (Pérdida) de la Baja en Activos Financieros medidos al Costo Amortizado</t>
  </si>
  <si>
    <t>Ingresos por Intereses calculados usando el Metodo de Interes Efectivo</t>
  </si>
  <si>
    <t>(2,154)</t>
  </si>
  <si>
    <t>Ganancia (Pérdida) por Deterioro de Valor (Pérdidas Crediticias Esperadas o Reversiones)</t>
  </si>
  <si>
    <t>Otros Ingresos (Gastos) de las Subsidiarias, Asociadas y Negocios Conjuntos</t>
  </si>
  <si>
    <t>Diferencias de Cambio Neto</t>
  </si>
  <si>
    <t>Ganancias (Pérdidas) por Reclasificación de Activos Financieros a Valor Razonable con cambios en Resultados antes medidos al Costo Amortizado</t>
  </si>
  <si>
    <t>Ganancia (Pérdida)  Acumulada en Otro Resultado Integral por Activos Financieros medidos a Valor Razonable reclasificados como cambios en Resultados</t>
  </si>
  <si>
    <t>Ganancias (Pérdidas) por Cobertura de un Grupo de Partidas con posiciones de Riesgo Compensadoras</t>
  </si>
  <si>
    <t>Diferencia entre el Importe en Libros de los Activos Distribuidos y el Importe en Libros del Dividendo a pagar</t>
  </si>
  <si>
    <t>Ganancia (Pérdida) antes de Impuestos</t>
  </si>
  <si>
    <t>(1,891)</t>
  </si>
  <si>
    <t>Ingreso (Gasto) por Impuesto</t>
  </si>
  <si>
    <t>Ganancia (Pérdida) Neta de Operaciones Continuadas</t>
  </si>
  <si>
    <t>Ganancia (Pérdida) procedente de Operaciones Discontinuadas, neta de Impuesto</t>
  </si>
  <si>
    <t>Ganancias (Pérdida) Básica por Acción:</t>
  </si>
  <si>
    <t>Básica por Acción Ordinaria en Operaciones Continuadas</t>
  </si>
  <si>
    <t>(0.031)</t>
  </si>
  <si>
    <t>(0.012)</t>
  </si>
  <si>
    <t>Básica por Acción Ordinaria en Operaciones Discontinuadas</t>
  </si>
  <si>
    <t>Total de Ganancias (Pérdida) Básica por Acción Ordinaria</t>
  </si>
  <si>
    <t>Total de Ganancias (Pérdida) Básica por Acción Inversión</t>
  </si>
  <si>
    <t>Ganancias (Pérdida) Diluida por Acción:</t>
  </si>
  <si>
    <t>Diluida por Acción Ordinaria en Operaciones Continuadas</t>
  </si>
  <si>
    <t>Diluida por Acción Ordinaria en Operaciones Discontinuadas</t>
  </si>
  <si>
    <t>Total de Ganancias (Pérdida) Diluida por Acción Ordinaria</t>
  </si>
  <si>
    <t>Total de Ganancias (Pérdida) Diluida por Acción Inversión</t>
  </si>
  <si>
    <t>Reserva de Ganancias y Pérdidas por Inversiones en Instrumentos de Patrimonio al Valor Razonable</t>
  </si>
  <si>
    <t>Reserva de Nuevas Mediciones de Planes de Beneficios Definidos</t>
  </si>
  <si>
    <t>Reserva para Cambios en el Valor Razonable de Pasivos Financieros Atribuibles a Cambios en el Riesgo de Crédito del Pasivo</t>
  </si>
  <si>
    <t>Reserva de Ganancias y Pérdidas sobre Instrumentos de Cobertura que Cubren Inversiones en Instrumentos de Patrimonio</t>
  </si>
  <si>
    <t>Participación en Otro Resultado Integral de Subsidiarias, Asociadas y Negocios Conjuntos Contabilizados Utilizando el Método de la Participación</t>
  </si>
  <si>
    <t>Coberturas del Flujo de Efectivo</t>
  </si>
  <si>
    <t>Coberturas de Inversión Neta de Negocios en el Extranjero</t>
  </si>
  <si>
    <t>Variación Neta de Activos No Corrientes o Grupos de Activos Mantenidos para la Venta</t>
  </si>
  <si>
    <t>Reserva sobre Activos Financieros Disponibles para la Venta</t>
  </si>
  <si>
    <t>Reserva por Cambios en el Valor Temporal del Dinero de Opciones</t>
  </si>
  <si>
    <t>Reserva por Cambios en el Valor de los Elementos del Contrato a Término</t>
  </si>
  <si>
    <t>Reserva por Cambios en el Valor de los Diferenciales de la Tasa de Cambio de la Moneda Extranjera</t>
  </si>
  <si>
    <t>Reserva sobre Activos Financieros Medidos al Valor Razonable con Cambios en Otro Resultado Integral</t>
  </si>
  <si>
    <t>1. Cambios en Políticas Contables</t>
  </si>
  <si>
    <t>2. Corrección de Errores</t>
  </si>
  <si>
    <t>6. Ganancia (Pérdida) Neta del Ejercicio</t>
  </si>
  <si>
    <t>7. Otro Resultado Integral</t>
  </si>
  <si>
    <t>8. Total Resultado Integral del Ejercicio, neto de Impuesto</t>
  </si>
  <si>
    <t>14. Incremento (Disminución) por cambios en las participaciones de subsidiarias que no impliquen pérdida de control</t>
  </si>
  <si>
    <t>15. Importe eliminado de reservas de coberturas de flujos de efectivo e incluido en el costo inicial u otro importe en libros de activos (pasivos) no financieros o compromisos en firme para los que se aplica la contabilidad de coberturas del valor razonable</t>
  </si>
  <si>
    <t>16. Importe eliminado de reservas de cambios en el valor temporal del dinero de opciones e incluido en el costo inicial u otro importe en libros de activos (pasivos) no financieros o compromisos en firme para los que se aplica la contabilidad de coberturas del valor razonable</t>
  </si>
  <si>
    <t>17. Importe eliminado de reservas de cambios en el valor de los elementos a término de contratos a término e incluido en el costo inicial u otro importe en libros de activos (pasivos) no financieros o compromisos en firme para los que se aplica la contabilidad de coberturas del valor razonable</t>
  </si>
  <si>
    <t>18. Importe eliminado de reservas de cambios en el valor de los diferenciales de tasa cambio de moneda extranjera e incluido en el costo inicial u otro importe en libros de activos (pasivos) no financieros o compromisos en firme para los que se aplica la contabilidad de coberturas del valor razonable</t>
  </si>
  <si>
    <t>19. Incremento (Disminución) por transacciones con pagos basados en acciones</t>
  </si>
  <si>
    <t>20. Incremento (Disminución) por transacciones con acciones propias en cartera</t>
  </si>
  <si>
    <t>21. Incremento (Disminución) por Transferencia y Otros Cambios de patrimonio</t>
  </si>
  <si>
    <t>SALDOS AL 1ERO DE ENERO DE 2017</t>
  </si>
  <si>
    <t>(1,299)</t>
  </si>
  <si>
    <t>(3,245)</t>
  </si>
  <si>
    <t>(5,136)</t>
  </si>
  <si>
    <t>(4,544)</t>
  </si>
  <si>
    <t>SALDOS AL 31 DE MARZO DE     2017</t>
  </si>
  <si>
    <t>Del 01 de Enero al 31 de Marzo del 2017</t>
  </si>
  <si>
    <t>Flujo de Efectivo de Actividades de Operación</t>
  </si>
  <si>
    <t>Clases de Cobros en Efectivo por Actividades de Operación</t>
  </si>
  <si>
    <t>Regalías, Cuotas, Comisiones, Otros Ingresos de Actividades Ordinarias</t>
  </si>
  <si>
    <t>Contratos Mantenidos con Propósito de Intermediación o para Negociar</t>
  </si>
  <si>
    <t>Arrendamiento y Posterior Venta de Activos Mantenidos para Arrendar a Terceros</t>
  </si>
  <si>
    <t>Otros Cobros de Efectivo Relativos a las Actividades de Operación</t>
  </si>
  <si>
    <t>Clases de Pagos en Efectivo por Actividades de Operación</t>
  </si>
  <si>
    <t>(19,761)</t>
  </si>
  <si>
    <t>Pagos a y por Cuenta de los Empleados</t>
  </si>
  <si>
    <t>(8,390)</t>
  </si>
  <si>
    <t>Elaboración o Adquisición de Activos para Arrendar y Otros Mantenidos para la Venta</t>
  </si>
  <si>
    <t>Otros Pagos de Efectivo Relativos a las Actividades de Operación</t>
  </si>
  <si>
    <t>(4,137)</t>
  </si>
  <si>
    <t>Flujos de Efectivo y Equivalente al Efectivo procedente de (utilizados en) Operaciones</t>
  </si>
  <si>
    <t>(1,202)</t>
  </si>
  <si>
    <t>Intereses Recibidos (no incluidos en la Actividad de Inversión)</t>
  </si>
  <si>
    <t>Intereses Pagados (no incluidos en la Actividad de Financiación)</t>
  </si>
  <si>
    <t>Dividendos Pagados (no incluidos en la Actividad de Financiación)</t>
  </si>
  <si>
    <t>Impuestos a las Ganancias (Pagados) Reembolsados</t>
  </si>
  <si>
    <t>Otros Cobros (Pagos) de Efectivo</t>
  </si>
  <si>
    <t>Flujos de Efectivo y Equivalente al Efectivo procedente de (utilizados en) Actividades de Operación</t>
  </si>
  <si>
    <t>Flujo de Efectivo de Actividades de Inversión</t>
  </si>
  <si>
    <t>Clases de Cobros en Efectivo por Actividades de Inversión</t>
  </si>
  <si>
    <t>Reembolso de Adelantos de Préstamos y Préstamos Concedidos a Terceros</t>
  </si>
  <si>
    <t>Pérdida de Control de Subsidiarias u Otros Negocios</t>
  </si>
  <si>
    <t>Reembolsos Recibidos de Préstamos a Entidades Relacionadas</t>
  </si>
  <si>
    <t>Venta de Instrumentos Financieros de Patrimonio o Deuda de Otras Entidades</t>
  </si>
  <si>
    <t>Contratos Derivados (Futuro, a Término, Opciones)</t>
  </si>
  <si>
    <t>Venta de Participaciones en Negocios Conjuntos, Neto Del Efectivo Desapropiado</t>
  </si>
  <si>
    <t>Venta de Otros Activos de Largo Plazo</t>
  </si>
  <si>
    <t>Subvenciones del Gobierno</t>
  </si>
  <si>
    <t>Clases de Pagos en Efectivo por Actividades de Inversión</t>
  </si>
  <si>
    <t>Préstamos Concedidos a Terceros</t>
  </si>
  <si>
    <t>Obtener el Control de Subsidiarias u Otros Negocios</t>
  </si>
  <si>
    <t>Prestamos Concedidos a Entidades Relacionadas</t>
  </si>
  <si>
    <t>Compra de Participaciones en Negocios Conjuntos, Neto del Efectivo Adquirido</t>
  </si>
  <si>
    <t>Compra de Propiedades, Planta y Equipo</t>
  </si>
  <si>
    <t>(6,431)</t>
  </si>
  <si>
    <t>Compra de Otros Activos de Largo Plazo</t>
  </si>
  <si>
    <t>Otros Cobros (Pagos) de Efectivo Relativos a las Actividades de Inversión</t>
  </si>
  <si>
    <t>Flujos de Efectivo y Equivalente al Efectivo procedente de (utilizados en) Actividades de Inversión</t>
  </si>
  <si>
    <t>Flujo de Efectivo de Actividades de Financiación</t>
  </si>
  <si>
    <t>Clases de Cobros en Efectivo por Actividades de Financiación:</t>
  </si>
  <si>
    <t>Préstamos de Entidades Relacionadas</t>
  </si>
  <si>
    <t>Cambios en las Participaciones en la Propiedad de Subsidiarias que no Resultan en Pérdida de Control</t>
  </si>
  <si>
    <t>Emisión de Otros Instrumentos de Patrimonio</t>
  </si>
  <si>
    <t>Clases de Pagos en Efectivo por Actividades de Financiación:</t>
  </si>
  <si>
    <t>Amortización o Pago de Préstamos</t>
  </si>
  <si>
    <t>(13,857)</t>
  </si>
  <si>
    <t>Intereses Pagados</t>
  </si>
  <si>
    <t>(1,616)</t>
  </si>
  <si>
    <t>Dividendos Pagados</t>
  </si>
  <si>
    <t>Otros Cobros (Pagos) de Efectivo Relativos a las Actividades de Financiación</t>
  </si>
  <si>
    <t>Flujos de Efectivo y Equivalente al Efectivo procedente de (utilizados en) Actividades de Financiación</t>
  </si>
  <si>
    <t>(5,329)</t>
  </si>
  <si>
    <t>Componente de Otro Resultado Integral que no se Reclasificaran al Resultado del Período, neto de Impuestos:</t>
  </si>
  <si>
    <t>Ganancias (Pérdidas) de Inversiones en Instrumentos de Patrimonio al Valor Razonable, neto de Impuestos</t>
  </si>
  <si>
    <t>Superávit de Revaluación, neto de Impuestos</t>
  </si>
  <si>
    <t>Ganancia (Pérdida) de Nuevas Mediciones de Planes de Beneficios Definidos, neto de Impuestos</t>
  </si>
  <si>
    <t>Cambios en el Valor Razonable de Pasivos Financieros Atribuibles a Cambios en el Riesgo de Crédito del Pasivo, neto de Impuestos</t>
  </si>
  <si>
    <t>Instrumentos de Cobertura que Cubren Inversiones en Instrumentos de Patrimonio, neto de Impuestos</t>
  </si>
  <si>
    <t>Participación en Otro Resultado Integral de Subsidiarias, Asociadas y Negocios Conjuntos Contabilizados por el Método de Participación, neto de Impuestos</t>
  </si>
  <si>
    <t>Total Otro Resultado Integral que no se Reclasificará al Resultado del Periodo, neto de Impuestos</t>
  </si>
  <si>
    <t>Componentes de Otro Resultado Integral que se Reclasificaran al Resultado del Periodo neto de Impuestos</t>
  </si>
  <si>
    <t>Ganancias (Pérdidas) por Cobertura de Flujos de Efectivo, neto de Impuestos</t>
  </si>
  <si>
    <t>Ajustes de Reclasificación en Coberturas de Flujos de Efectivo, neto de Impuestos</t>
  </si>
  <si>
    <t>Importes Eliminados del Patrimonio E Incluidos en el Importe en Libros de Activos (Pasivos) no Financieros que se Hayan Adquirido o Incurrido Mediante Una Transacción Prevista Altamente Probable Cubierta, neto de Impuestos</t>
  </si>
  <si>
    <t>Coberturas de Inversiones netas en Negocios en el Extranjero</t>
  </si>
  <si>
    <t>Ganancias (Pérdidas) por Cobertura de Inversiones netas en Negocios en el Extranjero, neto de Impuesto</t>
  </si>
  <si>
    <t>Ajustes de Reclasificación por Coberturas de Inversiones netas en Negocios en el Extranjero, neto de Impuestos</t>
  </si>
  <si>
    <t>Diferencia de Cambio por Conversión de Operaciones en el Extranjero</t>
  </si>
  <si>
    <t>Ganancias (Pérdidas) por Diferencias de Cambio de Conversión de Operaciones en el Extranjero, netas de Impuesto</t>
  </si>
  <si>
    <t>Ajustes de Reclasificación en Diferencia de Cambio de Conversión de Operaciones en el Extranjero, netos de Impuestos</t>
  </si>
  <si>
    <t>Variación neta de Activos no Corrientes o Grupos de Activos Mantenidos para la Venta</t>
  </si>
  <si>
    <t>Activos Financieros Disponibles para la Venta</t>
  </si>
  <si>
    <t>Ganancias (Pérdidas) por Nuevas Mediciones de Activos Financieros Disponibles para la Venta, neto de Impuestos</t>
  </si>
  <si>
    <t>Ajustes de Reclasificación, Activos Financieros Disponibles para la Venta, neto de Impuestos</t>
  </si>
  <si>
    <t>Cambios en el Valor Temporal del Dinero de Opciones</t>
  </si>
  <si>
    <t>Ganancia (Pérdida) por Cambios en el Valor Temporal del Dinero de Opciones, neto de Impuestos</t>
  </si>
  <si>
    <t>Ajustes de Reclasificación por Cambios en el Valor Temporal del Dinero de Opciones, neto de Impuestos</t>
  </si>
  <si>
    <t>Cambios en el Valor de los Elementos del Contrato a Término</t>
  </si>
  <si>
    <t>Ganancia (Pérdida) por Cambios en el Valor de los Elementos de Contratos a Término, neta de Impuestos</t>
  </si>
  <si>
    <t>Ajustes de Reclasificación por Cambios en el Valor de los Elementos de Contratos a Término, neto de Impuestos</t>
  </si>
  <si>
    <t>Cambio en el Valor de los Diferenciales de Tasa de Cambio de Moneda Extranjera</t>
  </si>
  <si>
    <t>Ganancia (Pérdida) por Cambios en el Valor de los Diferenciales de la Tasa de Cambio de la Moneda Extranjera, neto de Impuestos</t>
  </si>
  <si>
    <t>Ajustes de Reclasificación por Cambios en el Valor de los Diferenciales de la Tasa de Cambio de la Moneda Extranjera, netos de Impuestos</t>
  </si>
  <si>
    <t>Activos Financieros Medidos al Valor Razonable con Cambios en Otro Resultado Integral</t>
  </si>
  <si>
    <t>Ganancias (Pérdidas) por Activos Financieros Medidos al Valor Razonable con Cambios en Otro Resultado Integral, neta de Impuestos</t>
  </si>
  <si>
    <t>Ajustes de Reclasificación sobre Activos Financieros Medidos al Valor Razonable con Cambios en Otro Resultado Integral, netos de Impuestos</t>
  </si>
  <si>
    <t>Importes Eliminados del Patrimonio Contra el Valor Razonable de Activos Financieros, por Su Reclasificación a Activos Financieros al Costo Amortizado, neto de Impuestos</t>
  </si>
  <si>
    <t>Participacion de Otro Resultado Integral de Subsidiarias, Asociadas y Negocios Conjuntos Contabilizados Utilizando el Método de la Participación, neto de Impuestos</t>
  </si>
  <si>
    <t>Total Otro Resultado Integral que se Reclasificará al Resultado del Periodo, neto de Impuestos</t>
  </si>
  <si>
    <t>Total Otro Resultado Integral</t>
  </si>
  <si>
    <t>Total Resultado Integral del Ejercicio, neto de Impuesto</t>
  </si>
  <si>
    <t>Fecha y Hora de generación: 06/10/2026 11:13:35 a.m.</t>
  </si>
  <si>
    <t>30 de Junio del 2017</t>
  </si>
  <si>
    <t>(1,897)</t>
  </si>
  <si>
    <t>Específico del 01 de Abril al 30 de Junio del 2017</t>
  </si>
  <si>
    <t>Acumulado del 01 de Enero al 30 de Junio del  2017</t>
  </si>
  <si>
    <t>(23,893)</t>
  </si>
  <si>
    <t>(46,264)</t>
  </si>
  <si>
    <t>(3,676)</t>
  </si>
  <si>
    <t>(8,585)</t>
  </si>
  <si>
    <t>(17,602)</t>
  </si>
  <si>
    <t>(477)</t>
  </si>
  <si>
    <t>(787)</t>
  </si>
  <si>
    <t>(2,222)</t>
  </si>
  <si>
    <t>(4,376)</t>
  </si>
  <si>
    <t>(466)</t>
  </si>
  <si>
    <t>(60)</t>
  </si>
  <si>
    <t>(3,244)</t>
  </si>
  <si>
    <t>(1,763)</t>
  </si>
  <si>
    <t>(963)</t>
  </si>
  <si>
    <t>SALDOS AL 30 DE JUNIO DE     2017</t>
  </si>
  <si>
    <t>Del 01 de Enero al 30 de Junio del  2017</t>
  </si>
  <si>
    <t>(34,774)</t>
  </si>
  <si>
    <t>(17,214)</t>
  </si>
  <si>
    <t>(10,324)</t>
  </si>
  <si>
    <t>(12,356)</t>
  </si>
  <si>
    <t>(1,152)</t>
  </si>
  <si>
    <t>(13,508)</t>
  </si>
  <si>
    <t>(14,070)</t>
  </si>
  <si>
    <t>(3,296)</t>
  </si>
  <si>
    <t>Fecha y Hora de generación: 06/10/2026 11:13:59 a.m.</t>
  </si>
  <si>
    <t>30 de Setiembre del 2017</t>
  </si>
  <si>
    <t>(1,643)</t>
  </si>
  <si>
    <t>Específico del 01 de Julio al 30 de Septiembre del 2017</t>
  </si>
  <si>
    <t>Acumulado del 01 de Enero al 30 de Septiembre del 2017</t>
  </si>
  <si>
    <t>(26,568)</t>
  </si>
  <si>
    <t>(72,832)</t>
  </si>
  <si>
    <t>(1,547)</t>
  </si>
  <si>
    <t>(5,223)</t>
  </si>
  <si>
    <t>(9,116)</t>
  </si>
  <si>
    <t>(26,718)</t>
  </si>
  <si>
    <t>(854)</t>
  </si>
  <si>
    <t>(1,641)</t>
  </si>
  <si>
    <t>(2,107)</t>
  </si>
  <si>
    <t>(6,483)</t>
  </si>
  <si>
    <t>(650)</t>
  </si>
  <si>
    <t>(10)</t>
  </si>
  <si>
    <t>(677)</t>
  </si>
  <si>
    <t>SALDOS AL 30 DE SETIEMBRE DE 2017</t>
  </si>
  <si>
    <t>Del 01 de Enero al 30 de Septiembre del 2017</t>
  </si>
  <si>
    <t>(51,000)</t>
  </si>
  <si>
    <t>(27,087)</t>
  </si>
  <si>
    <t>(19,038)</t>
  </si>
  <si>
    <t>(20,558)</t>
  </si>
  <si>
    <t>(17,471)</t>
  </si>
  <si>
    <t>(4,840)</t>
  </si>
  <si>
    <t>(228)</t>
  </si>
  <si>
    <t>Fecha y Hora de generación: 06/10/2026 11:14:40 a.m.</t>
  </si>
  <si>
    <t>31 de Diciembre del 2017</t>
  </si>
  <si>
    <t>(1,375)</t>
  </si>
  <si>
    <t>Específico del 01 de Octubre al 31 de Diciembre del 2017</t>
  </si>
  <si>
    <t>Acumulado del 01 de Enero al 31 de Diciembre del 2017</t>
  </si>
  <si>
    <t>(26,365)</t>
  </si>
  <si>
    <t>(24,277)</t>
  </si>
  <si>
    <t>(99,197)</t>
  </si>
  <si>
    <t>(92,498)</t>
  </si>
  <si>
    <t>(1,967)</t>
  </si>
  <si>
    <t>(1,334)</t>
  </si>
  <si>
    <t>(7,190)</t>
  </si>
  <si>
    <t>(5,964)</t>
  </si>
  <si>
    <t>(10,451)</t>
  </si>
  <si>
    <t>(8,248)</t>
  </si>
  <si>
    <t>(37,169)</t>
  </si>
  <si>
    <t>(34,228)</t>
  </si>
  <si>
    <t>(134)</t>
  </si>
  <si>
    <t>(354)</t>
  </si>
  <si>
    <t>(1,775)</t>
  </si>
  <si>
    <t>(1,137)</t>
  </si>
  <si>
    <t>(4,063)</t>
  </si>
  <si>
    <t>(1,898)</t>
  </si>
  <si>
    <t>(10,546)</t>
  </si>
  <si>
    <t>(7,574)</t>
  </si>
  <si>
    <t>(43)</t>
  </si>
  <si>
    <t>(2,762)</t>
  </si>
  <si>
    <t>(53)</t>
  </si>
  <si>
    <t>(3,257)</t>
  </si>
  <si>
    <t>SALDOS AL 31 DE DICIEMBRE DE 2017</t>
  </si>
  <si>
    <t>Del 01 de Enero al 31 de Diciembre del 2017</t>
  </si>
  <si>
    <t>(68,865)</t>
  </si>
  <si>
    <t>(57,967)</t>
  </si>
  <si>
    <t>(39,522)</t>
  </si>
  <si>
    <t>(37,466)</t>
  </si>
  <si>
    <t>(23,218)</t>
  </si>
  <si>
    <t>(21,417)</t>
  </si>
  <si>
    <t>(1,331)</t>
  </si>
  <si>
    <t>(34,024)</t>
  </si>
  <si>
    <t>(34,292)</t>
  </si>
  <si>
    <t>(2,672)</t>
  </si>
  <si>
    <t>(6,990)</t>
  </si>
  <si>
    <t>(36,696)</t>
  </si>
  <si>
    <t>(41,270)</t>
  </si>
  <si>
    <t>(122,707)</t>
  </si>
  <si>
    <t>(12,565)</t>
  </si>
  <si>
    <t>(6,919)</t>
  </si>
  <si>
    <t>(5,829)</t>
  </si>
  <si>
    <t>(1,669)</t>
  </si>
  <si>
    <t>(7,529)</t>
  </si>
  <si>
    <t>(17,315)</t>
  </si>
  <si>
    <t>Fecha y Hora de generación: 06/10/2026 11:11:46 a.m.</t>
  </si>
  <si>
    <t>Año: 2018</t>
  </si>
  <si>
    <t>31 del Marzo del 2018</t>
  </si>
  <si>
    <t>(1,155)</t>
  </si>
  <si>
    <t>Específico del 01 de Enero al 31 de Marzo del 2018</t>
  </si>
  <si>
    <t>Acumulado del 01 de Enero al 31 de Marzo del 2018</t>
  </si>
  <si>
    <t>(24,351)</t>
  </si>
  <si>
    <t>(22,187)</t>
  </si>
  <si>
    <t>(2,335)</t>
  </si>
  <si>
    <t>(10,339)</t>
  </si>
  <si>
    <t>(9,114)</t>
  </si>
  <si>
    <t>(419)</t>
  </si>
  <si>
    <t>(2,925)</t>
  </si>
  <si>
    <t>(2,510)</t>
  </si>
  <si>
    <t>(1,954)</t>
  </si>
  <si>
    <t>(4,475)</t>
  </si>
  <si>
    <t>(1,988)</t>
  </si>
  <si>
    <t>(120)</t>
  </si>
  <si>
    <t>(4,595)</t>
  </si>
  <si>
    <t>(0.074)</t>
  </si>
  <si>
    <t>(0.032)</t>
  </si>
  <si>
    <t>(1,396)</t>
  </si>
  <si>
    <t>(5,233)</t>
  </si>
  <si>
    <t>(4,641)</t>
  </si>
  <si>
    <t>SALDOS AL 1ERO DE ENERO DE 2018</t>
  </si>
  <si>
    <t>(4,375)</t>
  </si>
  <si>
    <t>(6,540)</t>
  </si>
  <si>
    <t>(541)</t>
  </si>
  <si>
    <t>(11,676)</t>
  </si>
  <si>
    <t>(10,915)</t>
  </si>
  <si>
    <t>SALDOS AL 31 DE MARZO DE     2018</t>
  </si>
  <si>
    <t>Del 01 de Enero al 31 de Marzo del 2018</t>
  </si>
  <si>
    <t>(21,031)</t>
  </si>
  <si>
    <t>(8,851)</t>
  </si>
  <si>
    <t>(5,235)</t>
  </si>
  <si>
    <t>(6,212)</t>
  </si>
  <si>
    <t>(3,137)</t>
  </si>
  <si>
    <t>(10,560)</t>
  </si>
  <si>
    <t>(10,692)</t>
  </si>
  <si>
    <t>(1,408)</t>
  </si>
  <si>
    <t>(7,223)</t>
  </si>
  <si>
    <t>(12,162)</t>
  </si>
  <si>
    <t>Fecha y Hora de generación: 06/10/2026 11:10:35 a.m.</t>
  </si>
  <si>
    <t>30 de Junio del 2018</t>
  </si>
  <si>
    <t>(1,066)</t>
  </si>
  <si>
    <t>Específico del 01 de Abril al 30 de Junio del 2018</t>
  </si>
  <si>
    <t>Acumulado del 01 de Enero al 30 de Junio del  2018</t>
  </si>
  <si>
    <t>(27,486)</t>
  </si>
  <si>
    <t>(23,689)</t>
  </si>
  <si>
    <t>(52,087)</t>
  </si>
  <si>
    <t>(45,875)</t>
  </si>
  <si>
    <t>(2,294)</t>
  </si>
  <si>
    <t>(4,629)</t>
  </si>
  <si>
    <t>(9,508)</t>
  </si>
  <si>
    <t>(8,729)</t>
  </si>
  <si>
    <t>(19,847)</t>
  </si>
  <si>
    <t>(17,746)</t>
  </si>
  <si>
    <t>(773)</t>
  </si>
  <si>
    <t>(473)</t>
  </si>
  <si>
    <t>(2,136)</t>
  </si>
  <si>
    <t>(4,090)</t>
  </si>
  <si>
    <t>(1,870)</t>
  </si>
  <si>
    <t>(1,602)</t>
  </si>
  <si>
    <t>(1,433)</t>
  </si>
  <si>
    <t>(5,908)</t>
  </si>
  <si>
    <t>(180)</t>
  </si>
  <si>
    <t>(300)</t>
  </si>
  <si>
    <t>(1,613)</t>
  </si>
  <si>
    <t>(6,208)</t>
  </si>
  <si>
    <t>(0.101)</t>
  </si>
  <si>
    <t>(1,907)</t>
  </si>
  <si>
    <t>(1,107)</t>
  </si>
  <si>
    <t>(5,899)</t>
  </si>
  <si>
    <t>(13,289)</t>
  </si>
  <si>
    <t>(12,439)</t>
  </si>
  <si>
    <t>SALDOS AL 30 DE JUNIO DE     2018</t>
  </si>
  <si>
    <t>Del 01 de Enero al 30 de Junio del  2018</t>
  </si>
  <si>
    <t>(35,349)</t>
  </si>
  <si>
    <t>(19,510)</t>
  </si>
  <si>
    <t>(13,425)</t>
  </si>
  <si>
    <t>(18,302)</t>
  </si>
  <si>
    <t>(2,354)</t>
  </si>
  <si>
    <t>(20,656)</t>
  </si>
  <si>
    <t>(32,124)</t>
  </si>
  <si>
    <t>(2,985)</t>
  </si>
  <si>
    <t>(8,192)</t>
  </si>
  <si>
    <t>(1,524)</t>
  </si>
  <si>
    <t>Fecha y Hora de generación: 06/10/2026 11:10:08 a.m.</t>
  </si>
  <si>
    <t>30 de Setiembre del 2018</t>
  </si>
  <si>
    <t>(953)</t>
  </si>
  <si>
    <t>Específico del 01 de Julio al 30 de Septiembre del 2018</t>
  </si>
  <si>
    <t>Acumulado del 01 de Enero al 30 de Septiembre del 2018</t>
  </si>
  <si>
    <t>(29,906)</t>
  </si>
  <si>
    <t>(26,293)</t>
  </si>
  <si>
    <t>(81,993)</t>
  </si>
  <si>
    <t>(72,168)</t>
  </si>
  <si>
    <t>(2,151)</t>
  </si>
  <si>
    <t>(6,780)</t>
  </si>
  <si>
    <t>(9,967)</t>
  </si>
  <si>
    <t>(9,139)</t>
  </si>
  <si>
    <t>(29,814)</t>
  </si>
  <si>
    <t>(26,885)</t>
  </si>
  <si>
    <t>(770)</t>
  </si>
  <si>
    <t>(1,543)</t>
  </si>
  <si>
    <t>(2,484)</t>
  </si>
  <si>
    <t>(6,574)</t>
  </si>
  <si>
    <t>(1,363)</t>
  </si>
  <si>
    <t>(2,966)</t>
  </si>
  <si>
    <t>(3,616)</t>
  </si>
  <si>
    <t>(480)</t>
  </si>
  <si>
    <t>(4,096)</t>
  </si>
  <si>
    <t>(0.067)</t>
  </si>
  <si>
    <t>(3,674)</t>
  </si>
  <si>
    <t>(11,177)</t>
  </si>
  <si>
    <t>(10,214)</t>
  </si>
  <si>
    <t>SALDOS AL 30 DE SETIEMBRE DE 2018</t>
  </si>
  <si>
    <t>Del 01 de Enero al 30 de Septiembre del 2018</t>
  </si>
  <si>
    <t>(58,597)</t>
  </si>
  <si>
    <t>(31,076)</t>
  </si>
  <si>
    <t>(18,858)</t>
  </si>
  <si>
    <t>(2,586)</t>
  </si>
  <si>
    <t>(26,391)</t>
  </si>
  <si>
    <t>(1,727)</t>
  </si>
  <si>
    <t>(30,704)</t>
  </si>
  <si>
    <t>(32,243)</t>
  </si>
  <si>
    <t>(4,809)</t>
  </si>
  <si>
    <t>(1,900)</t>
  </si>
  <si>
    <t>(10,477)</t>
  </si>
  <si>
    <t>1 Jan 0001 00:00:00</t>
  </si>
  <si>
    <t>Fecha y Hora de generación: 06/10/2026 11:09:45 a.m.</t>
  </si>
  <si>
    <t>31 de Diciembre del 2018</t>
  </si>
  <si>
    <t>(852)</t>
  </si>
  <si>
    <t>Específico del 01 de Octubre al 31 de Diciembre del 2018</t>
  </si>
  <si>
    <t>Acumulado del 01 de Enero al 31 de Diciembre del 2018</t>
  </si>
  <si>
    <t>(29,928)</t>
  </si>
  <si>
    <t>(26,236)</t>
  </si>
  <si>
    <t>(111,921)</t>
  </si>
  <si>
    <t>(98,404)</t>
  </si>
  <si>
    <t>(1,795)</t>
  </si>
  <si>
    <t>(1,975)</t>
  </si>
  <si>
    <t>(8,575)</t>
  </si>
  <si>
    <t>(7,198)</t>
  </si>
  <si>
    <t>(10,487)</t>
  </si>
  <si>
    <t>(11,345)</t>
  </si>
  <si>
    <t>(40,301)</t>
  </si>
  <si>
    <t>(38,230)</t>
  </si>
  <si>
    <t>(1,475)</t>
  </si>
  <si>
    <t>(3,018)</t>
  </si>
  <si>
    <t>(2,855)</t>
  </si>
  <si>
    <t>(9,429)</t>
  </si>
  <si>
    <t>(192)</t>
  </si>
  <si>
    <t>(3,063)</t>
  </si>
  <si>
    <t>(6,029)</t>
  </si>
  <si>
    <t>(2,530)</t>
  </si>
  <si>
    <t>(1,800)</t>
  </si>
  <si>
    <t>(1,810)</t>
  </si>
  <si>
    <t>(930)</t>
  </si>
  <si>
    <t>(0.015)</t>
  </si>
  <si>
    <t>(0.041)</t>
  </si>
  <si>
    <t>(2,007)</t>
  </si>
  <si>
    <t>(13,615)</t>
  </si>
  <si>
    <t>(16,686)</t>
  </si>
  <si>
    <t>(15,622)</t>
  </si>
  <si>
    <t>SALDOS AL 31 DE DICIEMBRE DE 2018</t>
  </si>
  <si>
    <t>Del 01 de Enero al 31 de Diciembre del 2018</t>
  </si>
  <si>
    <t>(82,890)</t>
  </si>
  <si>
    <t>(67,063)</t>
  </si>
  <si>
    <t>(45,283)</t>
  </si>
  <si>
    <t>(25,253)</t>
  </si>
  <si>
    <t>(22,374)</t>
  </si>
  <si>
    <t>(995)</t>
  </si>
  <si>
    <t>(3,699)</t>
  </si>
  <si>
    <t>(3,535)</t>
  </si>
  <si>
    <t>(32,461)</t>
  </si>
  <si>
    <t>(30,745)</t>
  </si>
  <si>
    <t>(1,207)</t>
  </si>
  <si>
    <t>(11,722)</t>
  </si>
  <si>
    <t>(37,367)</t>
  </si>
  <si>
    <t>(46,002)</t>
  </si>
  <si>
    <t>(27,948)</t>
  </si>
  <si>
    <t>(118,917)</t>
  </si>
  <si>
    <t>(6,633)</t>
  </si>
  <si>
    <t>(11,316)</t>
  </si>
  <si>
    <t>(662)</t>
  </si>
  <si>
    <t>Fecha y Hora de generación: 06/10/2026 11:06:12 a.m.</t>
  </si>
  <si>
    <t>Año: 2019</t>
  </si>
  <si>
    <t>31 del Marzo del 2019</t>
  </si>
  <si>
    <t>(630)</t>
  </si>
  <si>
    <t>(851)</t>
  </si>
  <si>
    <t>Específico del 01 de Enero al 31 de Marzo del 2019</t>
  </si>
  <si>
    <t>Acumulado del 01 de Enero al 31 de Marzo del 2019</t>
  </si>
  <si>
    <t>(27,217)</t>
  </si>
  <si>
    <t>(2,582)</t>
  </si>
  <si>
    <t>(10,918)</t>
  </si>
  <si>
    <t>(438)</t>
  </si>
  <si>
    <t>(3,762)</t>
  </si>
  <si>
    <t>(5,442)</t>
  </si>
  <si>
    <t>(3,914)</t>
  </si>
  <si>
    <t>(3,874)</t>
  </si>
  <si>
    <t>(0.064)</t>
  </si>
  <si>
    <t>(0.076)</t>
  </si>
  <si>
    <t>SALDOS AL 1ERO DE ENERO DE 2019</t>
  </si>
  <si>
    <t>(3,653)</t>
  </si>
  <si>
    <t>(3,954)</t>
  </si>
  <si>
    <t>SALDOS AL 31 DE MARZO DE     2019</t>
  </si>
  <si>
    <t>Del 01 de Enero al 31 de Marzo del 2019</t>
  </si>
  <si>
    <t>(25,518)</t>
  </si>
  <si>
    <t>(10,051)</t>
  </si>
  <si>
    <t>(724)</t>
  </si>
  <si>
    <t>(3,644)</t>
  </si>
  <si>
    <t>(25,960)</t>
  </si>
  <si>
    <t>(1,842)</t>
  </si>
  <si>
    <t>(7,075)</t>
  </si>
  <si>
    <t>(10,538)</t>
  </si>
  <si>
    <t>Fecha y Hora de generación: 06/10/2026 11:06:46 a.m.</t>
  </si>
  <si>
    <t>30 de Junio del 2019</t>
  </si>
  <si>
    <t>(448)</t>
  </si>
  <si>
    <t>Específico del 01 de Abril al 30 de Junio del 2019</t>
  </si>
  <si>
    <t>Acumulado del 01 de Enero al 30 de Junio del  2019</t>
  </si>
  <si>
    <t>(30,562)</t>
  </si>
  <si>
    <t>(57,779)</t>
  </si>
  <si>
    <t>(2,127)</t>
  </si>
  <si>
    <t>(4,709)</t>
  </si>
  <si>
    <t>(10,597)</t>
  </si>
  <si>
    <t>(21,515)</t>
  </si>
  <si>
    <t>(492)</t>
  </si>
  <si>
    <t>(5,409)</t>
  </si>
  <si>
    <t>(10,851)</t>
  </si>
  <si>
    <t>(2,109)</t>
  </si>
  <si>
    <t>(122)</t>
  </si>
  <si>
    <t>(82)</t>
  </si>
  <si>
    <t>(2,191)</t>
  </si>
  <si>
    <t>(0.027)</t>
  </si>
  <si>
    <t>(0.036)</t>
  </si>
  <si>
    <t>(0.102)</t>
  </si>
  <si>
    <t>(1,788)</t>
  </si>
  <si>
    <t>(2,271)</t>
  </si>
  <si>
    <t>SALDOS AL 30 DE JUNIO DE     2019</t>
  </si>
  <si>
    <t>Del 01 de Enero al 30 de Junio del  2019</t>
  </si>
  <si>
    <t>(42,313)</t>
  </si>
  <si>
    <t>(24,244)</t>
  </si>
  <si>
    <t>(10,545)</t>
  </si>
  <si>
    <t>(4,930)</t>
  </si>
  <si>
    <t>(5,784)</t>
  </si>
  <si>
    <t>(22,103)</t>
  </si>
  <si>
    <t>Fecha y Hora de generación: 06/10/2026 11:07:33 a.m.</t>
  </si>
  <si>
    <t>30 de Setiembre del 2019</t>
  </si>
  <si>
    <t>(334)</t>
  </si>
  <si>
    <t>Específico del 01 de Julio al 30 de Septiembre del 2019</t>
  </si>
  <si>
    <t>Acumulado del 01 de Enero al 30 de Septiembre del 2019</t>
  </si>
  <si>
    <t>(32,781)</t>
  </si>
  <si>
    <t>(90,560)</t>
  </si>
  <si>
    <t>(1,892)</t>
  </si>
  <si>
    <t>(6,601)</t>
  </si>
  <si>
    <t>(10,807)</t>
  </si>
  <si>
    <t>(32,322)</t>
  </si>
  <si>
    <t>(557)</t>
  </si>
  <si>
    <t>(1,487)</t>
  </si>
  <si>
    <t>(5,457)</t>
  </si>
  <si>
    <t>(16,308)</t>
  </si>
  <si>
    <t>(8,905)</t>
  </si>
  <si>
    <t>(1,149)</t>
  </si>
  <si>
    <t>(7,285)</t>
  </si>
  <si>
    <t>(9,394)</t>
  </si>
  <si>
    <t>(468)</t>
  </si>
  <si>
    <t>(550)</t>
  </si>
  <si>
    <t>(7,753)</t>
  </si>
  <si>
    <t>(9,944)</t>
  </si>
  <si>
    <t>(0.128)</t>
  </si>
  <si>
    <t>(0.164)</t>
  </si>
  <si>
    <t>(0.068)</t>
  </si>
  <si>
    <t>(9,427)</t>
  </si>
  <si>
    <t>(10,024)</t>
  </si>
  <si>
    <t>SALDOS AL 30 DE SETIEMBRE DE 2019</t>
  </si>
  <si>
    <t>Del 01 de Enero al 30 de Septiembre del 2019</t>
  </si>
  <si>
    <t>(63,856)</t>
  </si>
  <si>
    <t>(36,160)</t>
  </si>
  <si>
    <t>(23,762)</t>
  </si>
  <si>
    <t>(2,529)</t>
  </si>
  <si>
    <t>(9,624)</t>
  </si>
  <si>
    <t>(2,502)</t>
  </si>
  <si>
    <t>(5,568)</t>
  </si>
  <si>
    <t>(43,752)</t>
  </si>
  <si>
    <t>(5,522)</t>
  </si>
  <si>
    <t>(7,639)</t>
  </si>
  <si>
    <t>Fecha y Hora de generación: 06/10/2026 11:08:05 a.m.</t>
  </si>
  <si>
    <t>31 de Diciembre del 2019</t>
  </si>
  <si>
    <t>(150)</t>
  </si>
  <si>
    <t>Específico del 01 de Octubre al 31 de Diciembre del 2019</t>
  </si>
  <si>
    <t>Acumulado del 01 de Enero al 31 de Diciembre del 2019</t>
  </si>
  <si>
    <t>(30,829)</t>
  </si>
  <si>
    <t>(30,650)</t>
  </si>
  <si>
    <t>(121,389)</t>
  </si>
  <si>
    <t>(112,643)</t>
  </si>
  <si>
    <t>(3,534)</t>
  </si>
  <si>
    <t>(10,135)</t>
  </si>
  <si>
    <t>(10,713)</t>
  </si>
  <si>
    <t>(10,490)</t>
  </si>
  <si>
    <t>(43,035)</t>
  </si>
  <si>
    <t>(40,304)</t>
  </si>
  <si>
    <t>(1,141)</t>
  </si>
  <si>
    <t>(1,451)</t>
  </si>
  <si>
    <t>(2,628)</t>
  </si>
  <si>
    <t>(2,994)</t>
  </si>
  <si>
    <t>(6,734)</t>
  </si>
  <si>
    <t>(2,454)</t>
  </si>
  <si>
    <t>(23,042)</t>
  </si>
  <si>
    <t>(9,028)</t>
  </si>
  <si>
    <t>(444)</t>
  </si>
  <si>
    <t>(3,596)</t>
  </si>
  <si>
    <t>(6,562)</t>
  </si>
  <si>
    <t>(2,410)</t>
  </si>
  <si>
    <t>(11,804)</t>
  </si>
  <si>
    <t>(3,460)</t>
  </si>
  <si>
    <t>(11,764)</t>
  </si>
  <si>
    <t>(0.030)</t>
  </si>
  <si>
    <t>(0.194)</t>
  </si>
  <si>
    <t>(13,351)</t>
  </si>
  <si>
    <t>(12,286)</t>
  </si>
  <si>
    <t>(11,063)</t>
  </si>
  <si>
    <t>(11,844)</t>
  </si>
  <si>
    <t>SALDOS AL 31 DE DICIEMBRE DE 2019</t>
  </si>
  <si>
    <t>Del 01 de Enero al 31 de Diciembre del 2019</t>
  </si>
  <si>
    <t>(89,122)</t>
  </si>
  <si>
    <t>(60,738)</t>
  </si>
  <si>
    <t>(47,787)</t>
  </si>
  <si>
    <t>(45,061)</t>
  </si>
  <si>
    <t>(50,504)</t>
  </si>
  <si>
    <t>(28,778)</t>
  </si>
  <si>
    <t>(2,939)</t>
  </si>
  <si>
    <t>(1,877)</t>
  </si>
  <si>
    <t>(9,137)</t>
  </si>
  <si>
    <t>(12,116)</t>
  </si>
  <si>
    <t>(37,571)</t>
  </si>
  <si>
    <t>(36,728)</t>
  </si>
  <si>
    <t>(526)</t>
  </si>
  <si>
    <t>(42,286)</t>
  </si>
  <si>
    <t>(47,234)</t>
  </si>
  <si>
    <t>(132,891)</t>
  </si>
  <si>
    <t>(33,681)</t>
  </si>
  <si>
    <t>(7,289)</t>
  </si>
  <si>
    <t>(1,636)</t>
  </si>
  <si>
    <t>Estado de Resultados (P&amp;L)</t>
  </si>
  <si>
    <t>Fecha y Hora de generación: 06/10/2026 11:05:10 a.m.</t>
  </si>
  <si>
    <t>Año: 2020</t>
  </si>
  <si>
    <t>31 del Marzo del 2020</t>
  </si>
  <si>
    <t>9 (a)</t>
  </si>
  <si>
    <t>9(b)</t>
  </si>
  <si>
    <t>(11,413)</t>
  </si>
  <si>
    <t>Específico del 01 de Enero al 31 de Marzo del 2020</t>
  </si>
  <si>
    <t>Acumulado del 01 de Enero al 31 de Marzo del 2020</t>
  </si>
  <si>
    <t>(31,059)</t>
  </si>
  <si>
    <t>(2,462)</t>
  </si>
  <si>
    <t>(7,032)</t>
  </si>
  <si>
    <t>(442)</t>
  </si>
  <si>
    <t>(6,001)</t>
  </si>
  <si>
    <t>(6,610)</t>
  </si>
  <si>
    <t>(12,989)</t>
  </si>
  <si>
    <t>(25,421)</t>
  </si>
  <si>
    <t>(24,560)</t>
  </si>
  <si>
    <t>(0.410)</t>
  </si>
  <si>
    <t>SALDOS AL 1ERO DE ENERO DE 2020</t>
  </si>
  <si>
    <t>(24,410)</t>
  </si>
  <si>
    <t>(6,642)</t>
  </si>
  <si>
    <t>(31,202)</t>
  </si>
  <si>
    <t>(31,052)</t>
  </si>
  <si>
    <t>SALDOS AL 31 DE MARZO DE     2020</t>
  </si>
  <si>
    <t>Del 01 de Enero al 31 de Marzo del 2020</t>
  </si>
  <si>
    <t>(24,233)</t>
  </si>
  <si>
    <t>(10,729)</t>
  </si>
  <si>
    <t>(13,627)</t>
  </si>
  <si>
    <t>(9,488)</t>
  </si>
  <si>
    <t>(2,052)</t>
  </si>
  <si>
    <t>(4,305)</t>
  </si>
  <si>
    <t>(25)</t>
  </si>
  <si>
    <t>(6,382)</t>
  </si>
  <si>
    <t>(165)</t>
  </si>
  <si>
    <t>(5,016)</t>
  </si>
  <si>
    <t>(2,471)</t>
  </si>
  <si>
    <t>(14,294)</t>
  </si>
  <si>
    <t>(30,164)</t>
  </si>
  <si>
    <t>Fecha y Hora de generación: 06/10/2026 11:04:15 a.m.</t>
  </si>
  <si>
    <t>30 de Junio del 2020</t>
  </si>
  <si>
    <t>(30,964)</t>
  </si>
  <si>
    <t>Específico del 01 de Abril al 30 de Junio del 2020</t>
  </si>
  <si>
    <t>Acumulado del 01 de Enero al 30 de Junio del  2020</t>
  </si>
  <si>
    <t>(13,523)</t>
  </si>
  <si>
    <t>(44,582)</t>
  </si>
  <si>
    <t>(451)</t>
  </si>
  <si>
    <t>(2,913)</t>
  </si>
  <si>
    <t>(9,109)</t>
  </si>
  <si>
    <t>(16,141)</t>
  </si>
  <si>
    <t>(40)</t>
  </si>
  <si>
    <t>(7,397)</t>
  </si>
  <si>
    <t>(13,398)</t>
  </si>
  <si>
    <t>(5,837)</t>
  </si>
  <si>
    <t>(12,447)</t>
  </si>
  <si>
    <t>(10,758)</t>
  </si>
  <si>
    <t>(23,747)</t>
  </si>
  <si>
    <t>(23,898)</t>
  </si>
  <si>
    <t>(49,319)</t>
  </si>
  <si>
    <t>(19,551)</t>
  </si>
  <si>
    <t>(44,111)</t>
  </si>
  <si>
    <t>(0.322)</t>
  </si>
  <si>
    <t>(0.727)</t>
  </si>
  <si>
    <t>(43,961)</t>
  </si>
  <si>
    <t>(50,753)</t>
  </si>
  <si>
    <t>(50,603)</t>
  </si>
  <si>
    <t>SALDOS AL 30 DE JUNIO DE     2020</t>
  </si>
  <si>
    <t>Del 01 de Enero al 30 de Junio del  2020</t>
  </si>
  <si>
    <t>(34,296)</t>
  </si>
  <si>
    <t>(17,043)</t>
  </si>
  <si>
    <t>(2,874)</t>
  </si>
  <si>
    <t>(9,251)</t>
  </si>
  <si>
    <t>(340)</t>
  </si>
  <si>
    <t>(5,229)</t>
  </si>
  <si>
    <t>(100)</t>
  </si>
  <si>
    <t>(5,669)</t>
  </si>
  <si>
    <t>(9,108)</t>
  </si>
  <si>
    <t>(6,905)</t>
  </si>
  <si>
    <t>(4,747)</t>
  </si>
  <si>
    <t>(17,402)</t>
  </si>
  <si>
    <t>(4,275)</t>
  </si>
  <si>
    <t>(36,597)</t>
  </si>
  <si>
    <t>Fecha y Hora de generación: 06/10/2026 11:03:17 a.m.</t>
  </si>
  <si>
    <t>30 de Setiembre del 2020</t>
  </si>
  <si>
    <t>(43,979)</t>
  </si>
  <si>
    <t>Específico del 01 de Julio al 30 de Septiembre del 2020</t>
  </si>
  <si>
    <t>Acumulado del 01 de Enero al 30 de Septiembre del 2020</t>
  </si>
  <si>
    <t>(20,393)</t>
  </si>
  <si>
    <t>(64,975)</t>
  </si>
  <si>
    <t>(1,389)</t>
  </si>
  <si>
    <t>(4,302)</t>
  </si>
  <si>
    <t>(8,260)</t>
  </si>
  <si>
    <t>(24,401)</t>
  </si>
  <si>
    <t>(463)</t>
  </si>
  <si>
    <t>(945)</t>
  </si>
  <si>
    <t>(3,707)</t>
  </si>
  <si>
    <t>(17,105)</t>
  </si>
  <si>
    <t>(18,377)</t>
  </si>
  <si>
    <t>(3,585)</t>
  </si>
  <si>
    <t>(27,332)</t>
  </si>
  <si>
    <t>(13,015)</t>
  </si>
  <si>
    <t>(62,334)</t>
  </si>
  <si>
    <t>(57,126)</t>
  </si>
  <si>
    <t>(0.214)</t>
  </si>
  <si>
    <t>(0.941)</t>
  </si>
  <si>
    <t>(56,976)</t>
  </si>
  <si>
    <t>(63,768)</t>
  </si>
  <si>
    <t>(54,407)</t>
  </si>
  <si>
    <t>SALDOS AL 30 DE SETIEMBRE DE 2020</t>
  </si>
  <si>
    <t>Del 01 de Enero al 30 de Septiembre del 2020</t>
  </si>
  <si>
    <t>(49,601)</t>
  </si>
  <si>
    <t>(28,122)</t>
  </si>
  <si>
    <t>(2,965)</t>
  </si>
  <si>
    <t>(15,992)</t>
  </si>
  <si>
    <t>(5,428)</t>
  </si>
  <si>
    <t>(498)</t>
  </si>
  <si>
    <t>(6,266)</t>
  </si>
  <si>
    <t>(9,150)</t>
  </si>
  <si>
    <t>(10,086)</t>
  </si>
  <si>
    <t>(7,181)</t>
  </si>
  <si>
    <t>(13,847)</t>
  </si>
  <si>
    <t>(36,105)</t>
  </si>
  <si>
    <t>(4,414)</t>
  </si>
  <si>
    <t>(40,519)</t>
  </si>
  <si>
    <t>Fecha y Hora de generación: 06/10/2026 11:02:41 a.m.</t>
  </si>
  <si>
    <t>31 de Diciembre del 2020</t>
  </si>
  <si>
    <t>(61,420)</t>
  </si>
  <si>
    <t>Específico del 01 de Octubre al 31 de Diciembre del 2020</t>
  </si>
  <si>
    <t>Acumulado del 01 de Enero al 31 de Diciembre del 2020</t>
  </si>
  <si>
    <t>(19,295)</t>
  </si>
  <si>
    <t>(38,207)</t>
  </si>
  <si>
    <t>(84,270)</t>
  </si>
  <si>
    <t>(128,767)</t>
  </si>
  <si>
    <t>(582)</t>
  </si>
  <si>
    <t>(1,162)</t>
  </si>
  <si>
    <t>(3,531)</t>
  </si>
  <si>
    <t>(5,464)</t>
  </si>
  <si>
    <t>(10,132)</t>
  </si>
  <si>
    <t>(7,612)</t>
  </si>
  <si>
    <t>(1,745)</t>
  </si>
  <si>
    <t>(32,013)</t>
  </si>
  <si>
    <t>(34,067)</t>
  </si>
  <si>
    <t>(991)</t>
  </si>
  <si>
    <t>(1,154)</t>
  </si>
  <si>
    <t>(1,936)</t>
  </si>
  <si>
    <t>(2,641)</t>
  </si>
  <si>
    <t>(9,877)</t>
  </si>
  <si>
    <t>(26,982)</t>
  </si>
  <si>
    <t>(5,662)</t>
  </si>
  <si>
    <t>(7,747)</t>
  </si>
  <si>
    <t>(24,039)</t>
  </si>
  <si>
    <t>(24,055)</t>
  </si>
  <si>
    <t>(308)</t>
  </si>
  <si>
    <t>(1,591)</t>
  </si>
  <si>
    <t>(28,923)</t>
  </si>
  <si>
    <t>(17,441)</t>
  </si>
  <si>
    <t>(79,775)</t>
  </si>
  <si>
    <t>(9,106)</t>
  </si>
  <si>
    <t>(74,567)</t>
  </si>
  <si>
    <t>(6,069)</t>
  </si>
  <si>
    <t>(0.287)</t>
  </si>
  <si>
    <t>(1.229)</t>
  </si>
  <si>
    <t>(0.100)</t>
  </si>
  <si>
    <t>(5,368)</t>
  </si>
  <si>
    <t>(627)</t>
  </si>
  <si>
    <t>(546)</t>
  </si>
  <si>
    <t>(6,696)</t>
  </si>
  <si>
    <t>(5,914)</t>
  </si>
  <si>
    <t>(68,176)</t>
  </si>
  <si>
    <t>(81,209)</t>
  </si>
  <si>
    <t>(65,607)</t>
  </si>
  <si>
    <t>SALDOS AL 31 DE DICIEMBRE DE 2020</t>
  </si>
  <si>
    <t>Del 01 de Enero al 31 de Diciembre del 2020</t>
  </si>
  <si>
    <t>(58,419)</t>
  </si>
  <si>
    <t>(59,997)</t>
  </si>
  <si>
    <t>(35,449)</t>
  </si>
  <si>
    <t>(48,081)</t>
  </si>
  <si>
    <t>(3,155)</t>
  </si>
  <si>
    <t>(18,477)</t>
  </si>
  <si>
    <t>(6,358)</t>
  </si>
  <si>
    <t>(2,678)</t>
  </si>
  <si>
    <t>(8,941)</t>
  </si>
  <si>
    <t>(6,301)</t>
  </si>
  <si>
    <t>(26,451)</t>
  </si>
  <si>
    <t>(756)</t>
  </si>
  <si>
    <t>(2,989)</t>
  </si>
  <si>
    <t>(28,405)</t>
  </si>
  <si>
    <t>(186,547)</t>
  </si>
  <si>
    <t>(12,858)</t>
  </si>
  <si>
    <t>(19,861)</t>
  </si>
  <si>
    <t>(9,657)</t>
  </si>
  <si>
    <t>(7,290)</t>
  </si>
  <si>
    <t>(19,095)</t>
  </si>
  <si>
    <t>(32,850)</t>
  </si>
  <si>
    <t>(4,691)</t>
  </si>
  <si>
    <t>(37,541)</t>
  </si>
  <si>
    <t>(11,200)</t>
  </si>
  <si>
    <t>Juan Ernesto Stoessel Florez|Gerente General</t>
  </si>
  <si>
    <t>Fecha y Hora de generación: 06/10/2026 10:58:40 a.m.</t>
  </si>
  <si>
    <t>Año: 2021</t>
  </si>
  <si>
    <t>31 del Marzo del 2021</t>
  </si>
  <si>
    <t>2.2(f) y 3</t>
  </si>
  <si>
    <t>2.2(a) y 4</t>
  </si>
  <si>
    <t>2.2(a)</t>
  </si>
  <si>
    <t>2.2(a) y 6</t>
  </si>
  <si>
    <t>2.2(g) y 5</t>
  </si>
  <si>
    <t>2.2(h)</t>
  </si>
  <si>
    <t>2.2(i) y 7</t>
  </si>
  <si>
    <t>2.2(j) y 8</t>
  </si>
  <si>
    <t>2.2(k) y 10</t>
  </si>
  <si>
    <t>2.2(r) y 14a</t>
  </si>
  <si>
    <t>2.2(l) y 9</t>
  </si>
  <si>
    <t>2.2(a) y 11</t>
  </si>
  <si>
    <t>2.2(a) y 12</t>
  </si>
  <si>
    <t>2.2(a) y 13</t>
  </si>
  <si>
    <t>2.2(s) y 13</t>
  </si>
  <si>
    <t>2.2(l) y 9b</t>
  </si>
  <si>
    <t>2.2(t) y 13</t>
  </si>
  <si>
    <t>(75,202)</t>
  </si>
  <si>
    <t>(56,119)</t>
  </si>
  <si>
    <t>Específico del 01 de Enero al 31 de Marzo del 2021</t>
  </si>
  <si>
    <t>Acumulado del 01 de Enero al 31 de Marzo del 2021</t>
  </si>
  <si>
    <t>2.2(u)</t>
  </si>
  <si>
    <t>2.2(u) y 17</t>
  </si>
  <si>
    <t>(16,809)</t>
  </si>
  <si>
    <t>(29,431)</t>
  </si>
  <si>
    <t>(1,402)</t>
  </si>
  <si>
    <t>2.2(u) y 18</t>
  </si>
  <si>
    <t>(1,050)</t>
  </si>
  <si>
    <t>(2,432)</t>
  </si>
  <si>
    <t>(5,882)</t>
  </si>
  <si>
    <t>(8,690)</t>
  </si>
  <si>
    <t>2.2(u) y 20</t>
  </si>
  <si>
    <t>(251)</t>
  </si>
  <si>
    <t>(8,351)</t>
  </si>
  <si>
    <t>2.2(u) y 21</t>
  </si>
  <si>
    <t>(6,454)</t>
  </si>
  <si>
    <t>2.2e y 26.1i</t>
  </si>
  <si>
    <t>(12,278)</t>
  </si>
  <si>
    <t>(27,068)</t>
  </si>
  <si>
    <t>2.2r y 14b</t>
  </si>
  <si>
    <t>(19,083)</t>
  </si>
  <si>
    <t>(0.273)</t>
  </si>
  <si>
    <t>(0.405)</t>
  </si>
  <si>
    <t>SALDOS AL 1ERO DE ENERO DE 2021</t>
  </si>
  <si>
    <t>SALDOS AL 31 DE MARZO DE     2021</t>
  </si>
  <si>
    <t>Del 01 de Enero al 31 de Marzo del 2021</t>
  </si>
  <si>
    <t>(13,649)</t>
  </si>
  <si>
    <t>(6,014)</t>
  </si>
  <si>
    <t>(2,446)</t>
  </si>
  <si>
    <t>(825)</t>
  </si>
  <si>
    <t>(3,160)</t>
  </si>
  <si>
    <t>2.2(e)</t>
  </si>
  <si>
    <t>22(a)</t>
  </si>
  <si>
    <t>8(a)</t>
  </si>
  <si>
    <t>(461)</t>
  </si>
  <si>
    <t>10(a)</t>
  </si>
  <si>
    <t>(346)</t>
  </si>
  <si>
    <t>(807)</t>
  </si>
  <si>
    <t>(71)</t>
  </si>
  <si>
    <t>(3,618)</t>
  </si>
  <si>
    <t>(3,277)</t>
  </si>
  <si>
    <t>15(c)</t>
  </si>
  <si>
    <t>(6,966)</t>
  </si>
  <si>
    <t>(10,933)</t>
  </si>
  <si>
    <t>(5,740)</t>
  </si>
  <si>
    <t>Juan Ernesto Stoessel Florez|Gerente General|Representante Legal</t>
  </si>
  <si>
    <t>Fecha y Hora de generación: 06/10/2026 10:59:05 a.m.</t>
  </si>
  <si>
    <t>30 de Junio del 2021</t>
  </si>
  <si>
    <t>(91,726)</t>
  </si>
  <si>
    <t>Específico del 01 de Abril al 30 de Junio del 2021</t>
  </si>
  <si>
    <t>Acumulado del 01 de Enero al 30 de Junio del  2021</t>
  </si>
  <si>
    <t>(18,128)</t>
  </si>
  <si>
    <t>(16,004)</t>
  </si>
  <si>
    <t>(34,937)</t>
  </si>
  <si>
    <t>(45,435)</t>
  </si>
  <si>
    <t>(469)</t>
  </si>
  <si>
    <t>(412)</t>
  </si>
  <si>
    <t>(1,871)</t>
  </si>
  <si>
    <t>(1,252)</t>
  </si>
  <si>
    <t>(975)</t>
  </si>
  <si>
    <t>(2,302)</t>
  </si>
  <si>
    <t>(3,407)</t>
  </si>
  <si>
    <t>(5,958)</t>
  </si>
  <si>
    <t>(6,105)</t>
  </si>
  <si>
    <t>(11,840)</t>
  </si>
  <si>
    <t>(14,795)</t>
  </si>
  <si>
    <t>(64)</t>
  </si>
  <si>
    <t>(315)</t>
  </si>
  <si>
    <t>(6,977)</t>
  </si>
  <si>
    <t>(7,398)</t>
  </si>
  <si>
    <t>(15,328)</t>
  </si>
  <si>
    <t>(13,399)</t>
  </si>
  <si>
    <t>(6,587)</t>
  </si>
  <si>
    <t>(13,041)</t>
  </si>
  <si>
    <t>(10,014)</t>
  </si>
  <si>
    <t>(10,757)</t>
  </si>
  <si>
    <t>(22,292)</t>
  </si>
  <si>
    <t>(23,746)</t>
  </si>
  <si>
    <t>(23,438)</t>
  </si>
  <si>
    <t>(50,506)</t>
  </si>
  <si>
    <t>(16,524)</t>
  </si>
  <si>
    <t>(35,607)</t>
  </si>
  <si>
    <t>(0.236)</t>
  </si>
  <si>
    <t>(0.321)</t>
  </si>
  <si>
    <t>(0.509)</t>
  </si>
  <si>
    <t>(17,419)</t>
  </si>
  <si>
    <t>SALDOS AL 30 DE JUNIO DE     2021</t>
  </si>
  <si>
    <t>Del 01 de Enero al 30 de Junio del  2021</t>
  </si>
  <si>
    <t>(22,429)</t>
  </si>
  <si>
    <t>(10,976)</t>
  </si>
  <si>
    <t>(2,193)</t>
  </si>
  <si>
    <t>(2,173)</t>
  </si>
  <si>
    <t>(93)</t>
  </si>
  <si>
    <t>(2,266)</t>
  </si>
  <si>
    <t>(182)</t>
  </si>
  <si>
    <t>(7,629)</t>
  </si>
  <si>
    <t>(6,670)</t>
  </si>
  <si>
    <t>(14,481)</t>
  </si>
  <si>
    <t>(13,819)</t>
  </si>
  <si>
    <t>(8,565)</t>
  </si>
  <si>
    <t>2.2j,r y 8b</t>
  </si>
  <si>
    <t>(19,401)</t>
  </si>
  <si>
    <t>Fecha y Hora de generación: 06/10/2026 11:00:29 a.m.</t>
  </si>
  <si>
    <t>30 de Setiembre del 2021</t>
  </si>
  <si>
    <t>(115,761)</t>
  </si>
  <si>
    <t>Específico del 01 de Julio al 30 de Septiembre del 2021</t>
  </si>
  <si>
    <t>Acumulado del 01 de Enero al 30 de Septiembre del 2021</t>
  </si>
  <si>
    <t>(20,461)</t>
  </si>
  <si>
    <t>(20,787)</t>
  </si>
  <si>
    <t>(55,398)</t>
  </si>
  <si>
    <t>(66,222)</t>
  </si>
  <si>
    <t>(1,173)</t>
  </si>
  <si>
    <t>(3,475)</t>
  </si>
  <si>
    <t>(5,217)</t>
  </si>
  <si>
    <t>(6,299)</t>
  </si>
  <si>
    <t>(7,444)</t>
  </si>
  <si>
    <t>(18,139)</t>
  </si>
  <si>
    <t>(22,239)</t>
  </si>
  <si>
    <t>(914)</t>
  </si>
  <si>
    <t>(2,343)</t>
  </si>
  <si>
    <t>(3,706)</t>
  </si>
  <si>
    <t>(17,671)</t>
  </si>
  <si>
    <t>(5,764)</t>
  </si>
  <si>
    <t>(18,805)</t>
  </si>
  <si>
    <t>(25,761)</t>
  </si>
  <si>
    <t>(3,586)</t>
  </si>
  <si>
    <t>(48,051)</t>
  </si>
  <si>
    <t>(33,781)</t>
  </si>
  <si>
    <t>(84,285)</t>
  </si>
  <si>
    <t>(24,037)</t>
  </si>
  <si>
    <t>(59,642)</t>
  </si>
  <si>
    <t>(0.344)</t>
  </si>
  <si>
    <t>(0.212)</t>
  </si>
  <si>
    <t>(0.853)</t>
  </si>
  <si>
    <t>(0.932)</t>
  </si>
  <si>
    <t>(63,618)</t>
  </si>
  <si>
    <t>(15,771)</t>
  </si>
  <si>
    <t>SALDOS AL 30 DE SETIEMBRE DE 2021</t>
  </si>
  <si>
    <t>Del 01 de Enero al 30 de Septiembre del 2021</t>
  </si>
  <si>
    <t>(31,041)</t>
  </si>
  <si>
    <t>(16,905)</t>
  </si>
  <si>
    <t>(2,655)</t>
  </si>
  <si>
    <t>(2,964)</t>
  </si>
  <si>
    <t>(15,991)</t>
  </si>
  <si>
    <t>(3,923)</t>
  </si>
  <si>
    <t>(125)</t>
  </si>
  <si>
    <t>(4,048)</t>
  </si>
  <si>
    <t>(968)</t>
  </si>
  <si>
    <t>(12,002)</t>
  </si>
  <si>
    <t>(8,946)</t>
  </si>
  <si>
    <t>(17,510)</t>
  </si>
  <si>
    <t>(9,927)</t>
  </si>
  <si>
    <t>(36,104)</t>
  </si>
  <si>
    <t>(6,438)</t>
  </si>
  <si>
    <t>(40,518)</t>
  </si>
  <si>
    <t>Fecha y Hora de generación: 06/10/2026 11:01:36 a.m.</t>
  </si>
  <si>
    <t>31 de Diciembre del 2021</t>
  </si>
  <si>
    <t>2.2(r) y 15</t>
  </si>
  <si>
    <t>2.2(s) y 14</t>
  </si>
  <si>
    <t>2.2(t) y 14</t>
  </si>
  <si>
    <t>(112,403)</t>
  </si>
  <si>
    <t>Específico del 01 de Octubre al 31 de Diciembre del 2021</t>
  </si>
  <si>
    <t>Acumulado del 01 de Enero al 31 de Diciembre del 2021</t>
  </si>
  <si>
    <t>(22,703)</t>
  </si>
  <si>
    <t>(20,379)</t>
  </si>
  <si>
    <t>(78,101)</t>
  </si>
  <si>
    <t>(86,601)</t>
  </si>
  <si>
    <t>(1,666)</t>
  </si>
  <si>
    <t>2.2(u) y 19</t>
  </si>
  <si>
    <t>(1,144)</t>
  </si>
  <si>
    <t>(1,330)</t>
  </si>
  <si>
    <t>(4,619)</t>
  </si>
  <si>
    <t>(6,547)</t>
  </si>
  <si>
    <t>(8,660)</t>
  </si>
  <si>
    <t>(7,338)</t>
  </si>
  <si>
    <t>(26,799)</t>
  </si>
  <si>
    <t>(29,577)</t>
  </si>
  <si>
    <t>(388)</t>
  </si>
  <si>
    <t>(393)</t>
  </si>
  <si>
    <t>(1,302)</t>
  </si>
  <si>
    <t>(1,338)</t>
  </si>
  <si>
    <t>(1,961)</t>
  </si>
  <si>
    <t>(10,378)</t>
  </si>
  <si>
    <t>(19,632)</t>
  </si>
  <si>
    <t>(27,483)</t>
  </si>
  <si>
    <t>2.2(u) y 22</t>
  </si>
  <si>
    <t>(6,893)</t>
  </si>
  <si>
    <t>(6,788)</t>
  </si>
  <si>
    <t>(25,698)</t>
  </si>
  <si>
    <t>(25,165)</t>
  </si>
  <si>
    <t>2.2e y 25.1i</t>
  </si>
  <si>
    <t>(1,662)</t>
  </si>
  <si>
    <t>(34,965)</t>
  </si>
  <si>
    <t>(28,994)</t>
  </si>
  <si>
    <t>(18,657)</t>
  </si>
  <si>
    <t>(79,976)</t>
  </si>
  <si>
    <t>(80,991)</t>
  </si>
  <si>
    <t>2.2r</t>
  </si>
  <si>
    <t>(951)</t>
  </si>
  <si>
    <t>(12,140)</t>
  </si>
  <si>
    <t>(56,284)</t>
  </si>
  <si>
    <t>(69,266)</t>
  </si>
  <si>
    <t>(0.158)</t>
  </si>
  <si>
    <t>(0.780)</t>
  </si>
  <si>
    <t>(1.090)</t>
  </si>
  <si>
    <t>(63,068)</t>
  </si>
  <si>
    <t>(75,908)</t>
  </si>
  <si>
    <t>(60,498)</t>
  </si>
  <si>
    <t>(8,012)</t>
  </si>
  <si>
    <t>SALDOS AL 31 DE DICIEMBRE DE 2021</t>
  </si>
  <si>
    <t>Del 01 de Enero al 31 de Diciembre del 2021</t>
  </si>
  <si>
    <t>(47,893)</t>
  </si>
  <si>
    <t>(54,077)</t>
  </si>
  <si>
    <t>(25,000)</t>
  </si>
  <si>
    <t>(36,025)</t>
  </si>
  <si>
    <t>(5,617)</t>
  </si>
  <si>
    <t>(10,620)</t>
  </si>
  <si>
    <t>(4,979)</t>
  </si>
  <si>
    <t>(2,464)</t>
  </si>
  <si>
    <t>(13,084)</t>
  </si>
  <si>
    <t>(684)</t>
  </si>
  <si>
    <t>(6,338)</t>
  </si>
  <si>
    <t>(4,929)</t>
  </si>
  <si>
    <t>(693)</t>
  </si>
  <si>
    <t>(7,031)</t>
  </si>
  <si>
    <t>(6,366)</t>
  </si>
  <si>
    <t>(2,428)</t>
  </si>
  <si>
    <t>(9,167)</t>
  </si>
  <si>
    <t>(16,300)</t>
  </si>
  <si>
    <t>(16,327)</t>
  </si>
  <si>
    <t>(11,971)</t>
  </si>
  <si>
    <t>(9,803)</t>
  </si>
  <si>
    <t>16(c)</t>
  </si>
  <si>
    <t>(22,727)</t>
  </si>
  <si>
    <t>(9,223)</t>
  </si>
  <si>
    <t>(42,177)</t>
  </si>
  <si>
    <t>(5,966)</t>
  </si>
  <si>
    <t>(37,581)</t>
  </si>
  <si>
    <t>2.2j,r</t>
  </si>
  <si>
    <t>(6,092)</t>
  </si>
  <si>
    <t>Fecha y Hora de generación: 06/10/2026 10:54:24 a.m.</t>
  </si>
  <si>
    <t>Año: 2022</t>
  </si>
  <si>
    <t>31 del Marzo del 2022</t>
  </si>
  <si>
    <t>(71,768)</t>
  </si>
  <si>
    <t>(91,691)</t>
  </si>
  <si>
    <t>Específico del 01 de Enero al 31 de Marzo del 2022</t>
  </si>
  <si>
    <t>Acumulado del 01 de Enero al 31 de Marzo del 2022</t>
  </si>
  <si>
    <t>(22,466)</t>
  </si>
  <si>
    <t>(1,190)</t>
  </si>
  <si>
    <t>(5,493)</t>
  </si>
  <si>
    <t>(278)</t>
  </si>
  <si>
    <t>(2,355)</t>
  </si>
  <si>
    <t>(6,140)</t>
  </si>
  <si>
    <t>SALDOS AL 1ERO DE ENERO DE 2022</t>
  </si>
  <si>
    <t>SALDOS AL 31 DE MARZO DE     2022</t>
  </si>
  <si>
    <t>Del 01 de Enero al 31 de Marzo del 2022</t>
  </si>
  <si>
    <t>(17,285)</t>
  </si>
  <si>
    <t>(4,379)</t>
  </si>
  <si>
    <t>(1,231)</t>
  </si>
  <si>
    <t>(666)</t>
  </si>
  <si>
    <t>(4,404)</t>
  </si>
  <si>
    <t>(2,492)</t>
  </si>
  <si>
    <t>(7,562)</t>
  </si>
  <si>
    <t>(7,436)</t>
  </si>
  <si>
    <t>(4,948)</t>
  </si>
  <si>
    <t>Fecha y Hora de generación: 06/10/2026 10:53:17 a.m.</t>
  </si>
  <si>
    <t>30 de Junio del 2022</t>
  </si>
  <si>
    <t>(88,365)</t>
  </si>
  <si>
    <t>Específico del 01 de Abril al 30 de Junio del 2022</t>
  </si>
  <si>
    <t>Acumulado del 01 de Enero al 30 de Junio del  2022</t>
  </si>
  <si>
    <t>(26,699)</t>
  </si>
  <si>
    <t>(49,165)</t>
  </si>
  <si>
    <t>(1,298)</t>
  </si>
  <si>
    <t>(2,488)</t>
  </si>
  <si>
    <t>(6,451)</t>
  </si>
  <si>
    <t>(11,944)</t>
  </si>
  <si>
    <t>(1,853)</t>
  </si>
  <si>
    <t>(2,131)</t>
  </si>
  <si>
    <t>(646)</t>
  </si>
  <si>
    <t>(6,188)</t>
  </si>
  <si>
    <t>(12,328)</t>
  </si>
  <si>
    <t>(12,208)</t>
  </si>
  <si>
    <t>(16,597)</t>
  </si>
  <si>
    <t>(0.200)</t>
  </si>
  <si>
    <t>SALDOS AL 30 DE JUNIO DE     2022</t>
  </si>
  <si>
    <t>Del 01 de Enero al 30 de Junio del  2022</t>
  </si>
  <si>
    <t>(25,609)</t>
  </si>
  <si>
    <t>(11,376)</t>
  </si>
  <si>
    <t>(3,294)</t>
  </si>
  <si>
    <t>(3,630)</t>
  </si>
  <si>
    <t>(3,942)</t>
  </si>
  <si>
    <t>(7,572)</t>
  </si>
  <si>
    <t>(9,136)</t>
  </si>
  <si>
    <t>(4,974)</t>
  </si>
  <si>
    <t>(15,448)</t>
  </si>
  <si>
    <t>(6,830)</t>
  </si>
  <si>
    <t>Fecha y Hora de generación: 06/10/2026 10:55:46 a.m.</t>
  </si>
  <si>
    <t>30 de Setiembre del 2022</t>
  </si>
  <si>
    <t>(94,281)</t>
  </si>
  <si>
    <t>Específico del 01 de Julio al 30 de Septiembre del 2022</t>
  </si>
  <si>
    <t>Acumulado del 01 de Enero al 30 de Septiembre del 2022</t>
  </si>
  <si>
    <t>(29,514)</t>
  </si>
  <si>
    <t>(78,679)</t>
  </si>
  <si>
    <t>(1,945)</t>
  </si>
  <si>
    <t>(4,433)</t>
  </si>
  <si>
    <t>(6,998)</t>
  </si>
  <si>
    <t>(18,942)</t>
  </si>
  <si>
    <t>(1,558)</t>
  </si>
  <si>
    <t>(3,689)</t>
  </si>
  <si>
    <t>(6,432)</t>
  </si>
  <si>
    <t>(18,760)</t>
  </si>
  <si>
    <t>(12,913)</t>
  </si>
  <si>
    <t>(10,111)</t>
  </si>
  <si>
    <t>(6,785)</t>
  </si>
  <si>
    <t>(9,002)</t>
  </si>
  <si>
    <t>(2,590)</t>
  </si>
  <si>
    <t>SALDOS AL 30 DE SETIEMBRE DE 2022</t>
  </si>
  <si>
    <t>Del 01 de Enero al 30 de Septiembre del 2022</t>
  </si>
  <si>
    <t>(47,555)</t>
  </si>
  <si>
    <t>(20,263)</t>
  </si>
  <si>
    <t>(6,543)</t>
  </si>
  <si>
    <t>(2,624)</t>
  </si>
  <si>
    <t>(3,964)</t>
  </si>
  <si>
    <t>(6,588)</t>
  </si>
  <si>
    <t>(12,155)</t>
  </si>
  <si>
    <t>(14,387)</t>
  </si>
  <si>
    <t>(24,604)</t>
  </si>
  <si>
    <t>(7,096)</t>
  </si>
  <si>
    <t>(2,657)</t>
  </si>
  <si>
    <t>Fecha y Hora de generación: 06/10/2026 10:57:02 a.m.</t>
  </si>
  <si>
    <t>31 de Diciembre del 2022</t>
  </si>
  <si>
    <t>2.2(a) y 22b</t>
  </si>
  <si>
    <t>(89,419)</t>
  </si>
  <si>
    <t>Específico del 01 de Octubre al 31 de Diciembre del 2022</t>
  </si>
  <si>
    <t>Acumulado del 01 de Enero al 31 de Diciembre del 2022</t>
  </si>
  <si>
    <t>(29,420)</t>
  </si>
  <si>
    <t>(108,099)</t>
  </si>
  <si>
    <t>(1,882)</t>
  </si>
  <si>
    <t>(6,315)</t>
  </si>
  <si>
    <t>(6,904)</t>
  </si>
  <si>
    <t>(8,701)</t>
  </si>
  <si>
    <t>(25,846)</t>
  </si>
  <si>
    <t>(26,840)</t>
  </si>
  <si>
    <t>(812)</t>
  </si>
  <si>
    <t>(4,501)</t>
  </si>
  <si>
    <t>(2,002)</t>
  </si>
  <si>
    <t>(19,673)</t>
  </si>
  <si>
    <t>(6,414)</t>
  </si>
  <si>
    <t>(25,174)</t>
  </si>
  <si>
    <t>(33,094)</t>
  </si>
  <si>
    <t>(78,146)</t>
  </si>
  <si>
    <t>(17,486)</t>
  </si>
  <si>
    <t>(814)</t>
  </si>
  <si>
    <t>(7,615)</t>
  </si>
  <si>
    <t>(35,572)</t>
  </si>
  <si>
    <t>(0.057)</t>
  </si>
  <si>
    <t>(0.500)</t>
  </si>
  <si>
    <t>(10,240)</t>
  </si>
  <si>
    <t>(6,764)</t>
  </si>
  <si>
    <t>(4,492)</t>
  </si>
  <si>
    <t>SALDOS AL 31 DE DICIEMBRE DE 2022</t>
  </si>
  <si>
    <t>Del 01 de Enero al 31 de Diciembre del 2022</t>
  </si>
  <si>
    <t>(67,904)</t>
  </si>
  <si>
    <t>(34,239)</t>
  </si>
  <si>
    <t>(3,591)</t>
  </si>
  <si>
    <t>(1,772)</t>
  </si>
  <si>
    <t>(7,389)</t>
  </si>
  <si>
    <t>(6,075)</t>
  </si>
  <si>
    <t>(4,965)</t>
  </si>
  <si>
    <t>(11,040)</t>
  </si>
  <si>
    <t>(5,068)</t>
  </si>
  <si>
    <t>(12,867)</t>
  </si>
  <si>
    <t>(20,364)</t>
  </si>
  <si>
    <t>(10,124)</t>
  </si>
  <si>
    <t>(33,855)</t>
  </si>
  <si>
    <t>(4,565)</t>
  </si>
  <si>
    <t>(2,522)</t>
  </si>
  <si>
    <t>(5,519)</t>
  </si>
  <si>
    <t>(22,052)</t>
  </si>
  <si>
    <t>(5,955)</t>
  </si>
  <si>
    <t>(14,379)</t>
  </si>
  <si>
    <t>Ingreso (Gasto) por Impuesto a las Ganancias</t>
  </si>
  <si>
    <t>OPEX Comercial (Comisiones/OTAS)</t>
  </si>
  <si>
    <t>OPEX Administrativo</t>
  </si>
  <si>
    <t>TOTAL OPEX</t>
  </si>
  <si>
    <t>Margen de Ganancia (Pérdida) Bruta</t>
  </si>
  <si>
    <t>EBITDA</t>
  </si>
  <si>
    <t>EBIT (Utilidad Operativa)</t>
  </si>
  <si>
    <t>Depreciación y Amortización</t>
  </si>
  <si>
    <t>EBT (Resultado Antes de Impuestos)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</si>
  <si>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</si>
  <si>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</si>
  <si>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</si>
  <si>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</si>
  <si>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</si>
  <si>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</si>
  <si>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</si>
  <si>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</si>
  <si>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</si>
  <si>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</si>
  <si>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</si>
  <si>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</si>
  <si>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</si>
  <si>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</si>
  <si>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</si>
  <si>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</si>
  <si>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</si>
  <si>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</si>
  <si>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</si>
  <si>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</si>
  <si>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</si>
  <si>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</si>
  <si>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</si>
  <si>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</si>
  <si>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</si>
  <si>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</si>
  <si>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</si>
  <si>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</si>
  <si>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Nota Metodológica sobre la Desacumulación de Flujos (YTD a Periodos Discretos):
La transformación de la base de datos de formato Acumulado (YTD) a periodos discretos trimestrales revela extornos y reclasificaciones contables propios de los cierres intermedios (NIC 34). Variaciones atípicas con signos invertidos en cuentas específicas (ej. reclasificación de intereses pagados o reestructuración de pasivos en Q2-2016) corresponden a la regularización de la base contable ejecutada por auditoría interna. Estos ajustes reflejan con exactitud la dinámica transaccional del periodo discreto, garantizando la consistencia del Flujo de Caja Libre (FCF) anual y la integridad del análisis de variaciones presupuestarias (Budget vs. Actual).</t>
  </si>
  <si>
    <t>Column1</t>
  </si>
  <si>
    <t>Cuenta_Original</t>
  </si>
  <si>
    <t>Cuenta_BI</t>
  </si>
  <si>
    <t>Estado_Financiero</t>
  </si>
  <si>
    <t>Categoria_Analisis</t>
  </si>
  <si>
    <t>Ventas Netas</t>
  </si>
  <si>
    <t>P&amp;L</t>
  </si>
  <si>
    <t>Ingresos</t>
  </si>
  <si>
    <t>Costos Directos</t>
  </si>
  <si>
    <t>OPEX Comercial</t>
  </si>
  <si>
    <t>Gasto Operativo</t>
  </si>
  <si>
    <t>Otros Ingresos</t>
  </si>
  <si>
    <t>Otros Operativos</t>
  </si>
  <si>
    <t>Otros Gastos</t>
  </si>
  <si>
    <t>Financiero (No Operativo)</t>
  </si>
  <si>
    <t>Diferencia en Cambio</t>
  </si>
  <si>
    <t>Resultado Subsidiarias</t>
  </si>
  <si>
    <t>Impuestos</t>
  </si>
  <si>
    <t>Tributario</t>
  </si>
  <si>
    <t>Caja y Bancos</t>
  </si>
  <si>
    <t>Balance</t>
  </si>
  <si>
    <t>Activo Corriente</t>
  </si>
  <si>
    <t>Cuentas por Cobrar</t>
  </si>
  <si>
    <t>Activo Corriente (DSO)</t>
  </si>
  <si>
    <t>Activo Corriente (DIO)</t>
  </si>
  <si>
    <t>Otros Activos</t>
  </si>
  <si>
    <t>Activo</t>
  </si>
  <si>
    <t>Inversiones</t>
  </si>
  <si>
    <t>Activo No Corriente</t>
  </si>
  <si>
    <t>PP&amp;E (Activo Fijo)</t>
  </si>
  <si>
    <t>Intangibles</t>
  </si>
  <si>
    <t>Impuestos Diferidos (Activo)</t>
  </si>
  <si>
    <t>Obligaciones Financieras</t>
  </si>
  <si>
    <t>Pasivo (Deuda)</t>
  </si>
  <si>
    <t>Cuentas por Pagar</t>
  </si>
  <si>
    <t>Pasivo Corriente (DPO)</t>
  </si>
  <si>
    <t>Otros Pasivos</t>
  </si>
  <si>
    <t>Pasivo</t>
  </si>
  <si>
    <t>Impuestos Diferidos (Pasivo)</t>
  </si>
  <si>
    <t>Pasivo No Corriente</t>
  </si>
  <si>
    <t>Patrimonio Total</t>
  </si>
  <si>
    <t>Capital Social</t>
  </si>
  <si>
    <t>Reservas de Capital</t>
  </si>
  <si>
    <t>Otras Reservas</t>
  </si>
  <si>
    <t>Cobros de Clientes</t>
  </si>
  <si>
    <t>Cash Flow</t>
  </si>
  <si>
    <t>FCO - Ingresos</t>
  </si>
  <si>
    <t>Otros Cobros Operativos</t>
  </si>
  <si>
    <t>Pago a Proveedores</t>
  </si>
  <si>
    <t>FCO - Egresos</t>
  </si>
  <si>
    <t>Pago de Planilla</t>
  </si>
  <si>
    <t>Otros Pagos Operativos</t>
  </si>
  <si>
    <t>Pago de Intereses (FCO)</t>
  </si>
  <si>
    <t>FCO - Financiero</t>
  </si>
  <si>
    <t>Pago de Impuestos</t>
  </si>
  <si>
    <t>FCO - Tributario</t>
  </si>
  <si>
    <t>Cobros por Inversión</t>
  </si>
  <si>
    <t>FCI - Ingresos</t>
  </si>
  <si>
    <t>Reembolsos Recibidos</t>
  </si>
  <si>
    <t>Venta de Instrumentos</t>
  </si>
  <si>
    <t>Pagos por Inversión</t>
  </si>
  <si>
    <t>FCI - Egresos</t>
  </si>
  <si>
    <t>Préstamos Concedidos</t>
  </si>
  <si>
    <t>Préstamos a Relacionadas</t>
  </si>
  <si>
    <t>Capex (PP&amp;E)</t>
  </si>
  <si>
    <t>Capex (Intangibles)</t>
  </si>
  <si>
    <t>Otros Flujos Inversión</t>
  </si>
  <si>
    <t>FCI - Otros</t>
  </si>
  <si>
    <t>Desembolso de Préstamos</t>
  </si>
  <si>
    <t>FCF - Ingresos</t>
  </si>
  <si>
    <t>Amortización de Deuda</t>
  </si>
  <si>
    <t>FCF - Egresos</t>
  </si>
  <si>
    <t>Pago Arrendamientos</t>
  </si>
  <si>
    <t>Pago de Intereses (FCF)</t>
  </si>
  <si>
    <t>Pago de Dividendos</t>
  </si>
  <si>
    <t>Efecto Cambiario (Caja)</t>
  </si>
  <si>
    <t>Saldo</t>
  </si>
  <si>
    <t>Grand Total</t>
  </si>
  <si>
    <t>2016</t>
  </si>
  <si>
    <t>2017</t>
  </si>
  <si>
    <t>2018</t>
  </si>
  <si>
    <t>2019</t>
  </si>
  <si>
    <t>2020</t>
  </si>
  <si>
    <t>2021</t>
  </si>
  <si>
    <t>2022</t>
  </si>
  <si>
    <t>Qtr1</t>
  </si>
  <si>
    <t>Qtr2</t>
  </si>
  <si>
    <t>Qtr3</t>
  </si>
  <si>
    <t>Qtr4</t>
  </si>
  <si>
    <t>1_Total_Soles</t>
  </si>
  <si>
    <t>2_Ventas_Netas</t>
  </si>
  <si>
    <t>3_Margen_Operativo_Pct</t>
  </si>
  <si>
    <t>Row Labels</t>
  </si>
  <si>
    <t>Periodo</t>
  </si>
  <si>
    <t>Monto</t>
  </si>
  <si>
    <t>Periodo (Year)</t>
  </si>
  <si>
    <t>Periodo (Quarter)</t>
  </si>
  <si>
    <t>Periodo (Month Index)</t>
  </si>
  <si>
    <t>Periodo (Month)</t>
  </si>
  <si>
    <t>Mar</t>
  </si>
  <si>
    <t>Jun</t>
  </si>
  <si>
    <t>Set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</si>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</sst>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 %;\-0.00\ %;0.00\ %"/>
    <numFmt numFmtId="166" formatCode="&quot;S/&quot;\ #,##0;\-&quot;S/&quot;\ #,##0;&quot;S/&quot;\ #,##0"/>
  </numFmts>
  <fonts count="12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7AB6"/>
        <bgColor rgb="FF337AB6"/>
      </patternFill>
    </fill>
    <fill>
      <patternFill patternType="solid">
        <fgColor rgb="FFBDBDBD"/>
        <bgColor rgb="FFBDBDBD"/>
      </patternFill>
    </fill>
    <fill>
      <patternFill patternType="solid">
        <fgColor rgb="FFF8F8F8"/>
        <bgColor rgb="FFF8F8F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2" fontId="0" fillId="0" borderId="0" xfId="0" applyNumberFormat="1" applyAlignment="1">
      <alignment horizontal="right"/>
    </xf>
    <xf numFmtId="22" fontId="0" fillId="4" borderId="0" xfId="0" applyNumberFormat="1" applyFill="1" applyAlignment="1">
      <alignment horizontal="right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4" borderId="0" xfId="0" applyFont="1" applyFill="1" applyAlignment="1">
      <alignment horizontal="left"/>
    </xf>
    <xf numFmtId="3" fontId="5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/>
    </xf>
    <xf numFmtId="3" fontId="9" fillId="3" borderId="0" xfId="0" applyNumberFormat="1" applyFont="1" applyFill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5" fillId="3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3" fontId="0" fillId="3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3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9" fillId="3" borderId="1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/>
    </xf>
    <xf numFmtId="0" fontId="7" fillId="0" borderId="4" xfId="0" applyFont="1" applyBorder="1" applyAlignment="1">
      <alignment horizontal="left" vertical="center" wrapText="1" indent="1"/>
    </xf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22">
    <dxf>
      <numFmt numFmtId="19" formatCode="d/mm/yyyy"/>
    </dxf>
    <dxf>
      <numFmt numFmtId="0" formatCode="General"/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47" Type="http://schemas.openxmlformats.org/officeDocument/2006/relationships/customXml" Target="../customXml/item5.xml"/><Relationship Id="rId50" Type="http://schemas.openxmlformats.org/officeDocument/2006/relationships/customXml" Target="../customXml/item8.xml"/><Relationship Id="rId55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onnections" Target="connections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3.xml"/><Relationship Id="rId53" Type="http://schemas.openxmlformats.org/officeDocument/2006/relationships/customXml" Target="../customXml/item11.xml"/><Relationship Id="rId58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43" Type="http://schemas.openxmlformats.org/officeDocument/2006/relationships/customXml" Target="../customXml/item1.xml"/><Relationship Id="rId48" Type="http://schemas.openxmlformats.org/officeDocument/2006/relationships/customXml" Target="../customXml/item6.xml"/><Relationship Id="rId56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46" Type="http://schemas.openxmlformats.org/officeDocument/2006/relationships/customXml" Target="../customXml/item4.xml"/><Relationship Id="rId59" Type="http://schemas.openxmlformats.org/officeDocument/2006/relationships/customXml" Target="../customXml/item17.xml"/><Relationship Id="rId20" Type="http://schemas.openxmlformats.org/officeDocument/2006/relationships/worksheet" Target="worksheets/sheet20.xml"/><Relationship Id="rId41" Type="http://schemas.microsoft.com/office/2017/10/relationships/person" Target="persons/person.xml"/><Relationship Id="rId54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49" Type="http://schemas.openxmlformats.org/officeDocument/2006/relationships/customXml" Target="../customXml/item7.xml"/><Relationship Id="rId57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52" Type="http://schemas.openxmlformats.org/officeDocument/2006/relationships/customXml" Target="../customXml/item10.xml"/><Relationship Id="rId60" Type="http://schemas.openxmlformats.org/officeDocument/2006/relationships/customXml" Target="../customXml/item1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03.7140806713" backgroundQuery="1" createdVersion="8" refreshedVersion="8" minRefreshableVersion="3" recordCount="0" supportSubquery="1" supportAdvancedDrill="1" xr:uid="{18469F00-DF54-42C1-B8E9-4C237079D6C2}">
  <cacheSource type="external" connectionId="4"/>
  <cacheFields count="7">
    <cacheField name="[Measures].[1_Total_Soles]" caption="1_Total_Soles" numFmtId="0" hierarchy="11" level="32767"/>
    <cacheField name="[Measures].[2_Ventas_Netas]" caption="2_Ventas_Netas" numFmtId="0" hierarchy="12" level="32767"/>
    <cacheField name="[Measures].[3_Margen_Operativo_Pct]" caption="3_Margen_Operativo_Pct" numFmtId="0" hierarchy="13" level="32767"/>
    <cacheField name="[Data].[Periodo].[Periodo]" caption="Periodo" numFmtId="0" hierarchy="1" level="1">
      <sharedItems containsSemiMixedTypes="0" containsNonDate="0" containsDate="1" containsString="0" minDate="2016-03-31T00:00:00" maxDate="2023-01-01T00:00:00" count="28">
        <d v="2016-03-31T00:00:00"/>
        <d v="2016-06-30T00:00:00"/>
        <d v="2016-09-30T00:00:00"/>
        <d v="2016-12-31T00:00:00"/>
        <d v="2017-03-31T00:00:00"/>
        <d v="2017-06-30T00:00:00"/>
        <d v="2017-09-30T00:00:00"/>
        <d v="2017-12-31T00:00:00"/>
        <d v="2018-03-31T00:00:00"/>
        <d v="2018-06-30T00:00:00"/>
        <d v="2018-09-30T00:00:00"/>
        <d v="2018-12-31T00:00:00"/>
        <d v="2019-03-31T00:00:00"/>
        <d v="2019-06-30T00:00:00"/>
        <d v="2019-09-30T00:00:00"/>
        <d v="2019-12-31T00:00:00"/>
        <d v="2020-03-31T00:00:00"/>
        <d v="2020-06-30T00:00:00"/>
        <d v="2020-09-30T00:00:00"/>
        <d v="2020-12-31T00:00:00"/>
        <d v="2021-03-31T00:00:00"/>
        <d v="2021-06-30T00:00:00"/>
        <d v="2021-09-30T00:00:00"/>
        <d v="2021-12-31T00:00:00"/>
        <d v="2022-03-31T00:00:00"/>
        <d v="2022-06-30T00:00:00"/>
        <d v="2022-09-30T00:00:00"/>
        <d v="2022-12-31T00:00:00"/>
      </sharedItems>
    </cacheField>
    <cacheField name="[Data].[Periodo (Month)].[Periodo (Month)]" caption="Periodo (Month)" numFmtId="0" hierarchy="5" level="1">
      <sharedItems count="4">
        <s v="Mar"/>
        <s v="Jun"/>
        <s v="Set"/>
        <s v="Dic"/>
      </sharedItems>
    </cacheField>
    <cacheField name="[Data].[Periodo (Quarter)].[Periodo (Quarter)]" caption="Periodo (Quarter)" numFmtId="0" hierarchy="4" level="1">
      <sharedItems count="4">
        <s v="Qtr1"/>
        <s v="Qtr2"/>
        <s v="Qtr3"/>
        <s v="Qtr4"/>
      </sharedItems>
    </cacheField>
    <cacheField name="[Data].[Periodo (Year)].[Periodo (Year)]" caption="Periodo (Year)" numFmtId="0" hierarchy="3" level="1">
      <sharedItems count="7">
        <s v="2016"/>
        <s v="2017"/>
        <s v="2018"/>
        <s v="2019"/>
        <s v="2020"/>
        <s v="2021"/>
        <s v="2022"/>
      </sharedItems>
    </cacheField>
  </cacheFields>
  <cacheHierarchies count="17">
    <cacheHierarchy uniqueName="[Data].[Cuenta]" caption="Cuenta" attribute="1" defaultMemberUniqueName="[Data].[Cuenta].[All]" allUniqueName="[Data].[Cuenta].[All]" dimensionUniqueName="[Data]" displayFolder="" count="0" memberValueDatatype="130" unbalanced="0"/>
    <cacheHierarchy uniqueName="[Data].[Periodo]" caption="Periodo" attribute="1" time="1" defaultMemberUniqueName="[Data].[Periodo].[All]" allUniqueName="[Data].[Periodo].[All]" dimensionUniqueName="[Data]" displayFolder="" count="2" memberValueDatatype="7" unbalanced="0">
      <fieldsUsage count="2">
        <fieldUsage x="-1"/>
        <fieldUsage x="3"/>
      </fieldsUsage>
    </cacheHierarchy>
    <cacheHierarchy uniqueName="[Data].[Monto]" caption="Monto" attribute="1" defaultMemberUniqueName="[Data].[Monto].[All]" allUniqueName="[Data].[Monto].[All]" dimensionUniqueName="[Data]" displayFolder="" count="0" memberValueDatatype="20" unbalanced="0"/>
    <cacheHierarchy uniqueName="[Data].[Periodo (Year)]" caption="Periodo (Year)" attribute="1" defaultMemberUniqueName="[Data].[Periodo (Year)].[All]" allUniqueName="[Data].[Periodo (Year)].[All]" dimensionUniqueName="[Data]" displayFolder="" count="2" memberValueDatatype="130" unbalanced="0">
      <fieldsUsage count="2">
        <fieldUsage x="-1"/>
        <fieldUsage x="6"/>
      </fieldsUsage>
    </cacheHierarchy>
    <cacheHierarchy uniqueName="[Data].[Periodo (Quarter)]" caption="Periodo (Quarter)" attribute="1" defaultMemberUniqueName="[Data].[Periodo (Quarter)].[All]" allUniqueName="[Data].[Periodo (Quarter)].[All]" dimensionUniqueName="[Data]" displayFolder="" count="2" memberValueDatatype="130" unbalanced="0">
      <fieldsUsage count="2">
        <fieldUsage x="-1"/>
        <fieldUsage x="5"/>
      </fieldsUsage>
    </cacheHierarchy>
    <cacheHierarchy uniqueName="[Data].[Periodo (Month)]" caption="Periodo (Month)" attribute="1" defaultMemberUniqueName="[Data].[Periodo (Month)].[All]" allUniqueName="[Data].[Periodo (Month)].[All]" dimensionUniqueName="[Data]" displayFolder="" count="2" memberValueDatatype="130" unbalanced="0">
      <fieldsUsage count="2">
        <fieldUsage x="-1"/>
        <fieldUsage x="4"/>
      </fieldsUsage>
    </cacheHierarchy>
    <cacheHierarchy uniqueName="[Dim_Cuentas].[Cuenta_Original]" caption="Cuenta_Original" attribute="1" defaultMemberUniqueName="[Dim_Cuentas].[Cuenta_Original].[All]" allUniqueName="[Dim_Cuentas].[Cuenta_Original].[All]" dimensionUniqueName="[Dim_Cuentas]" displayFolder="" count="0" memberValueDatatype="130" unbalanced="0"/>
    <cacheHierarchy uniqueName="[Dim_Cuentas].[Cuenta_BI]" caption="Cuenta_BI" attribute="1" defaultMemberUniqueName="[Dim_Cuentas].[Cuenta_BI].[All]" allUniqueName="[Dim_Cuentas].[Cuenta_BI].[All]" dimensionUniqueName="[Dim_Cuentas]" displayFolder="" count="0" memberValueDatatype="130" unbalanced="0"/>
    <cacheHierarchy uniqueName="[Dim_Cuentas].[Estado_Financiero]" caption="Estado_Financiero" attribute="1" defaultMemberUniqueName="[Dim_Cuentas].[Estado_Financiero].[All]" allUniqueName="[Dim_Cuentas].[Estado_Financiero].[All]" dimensionUniqueName="[Dim_Cuentas]" displayFolder="" count="0" memberValueDatatype="130" unbalanced="0"/>
    <cacheHierarchy uniqueName="[Dim_Cuentas].[Categoria_Analisis]" caption="Categoria_Analisis" attribute="1" defaultMemberUniqueName="[Dim_Cuentas].[Categoria_Analisis].[All]" allUniqueName="[Dim_Cuentas].[Categoria_Analisis].[All]" dimensionUniqueName="[Dim_Cuentas]" displayFolder="" count="0" memberValueDatatype="130" unbalanced="0"/>
    <cacheHierarchy uniqueName="[Data].[Periodo (Month Index)]" caption="Periodo (Month Index)" attribute="1" defaultMemberUniqueName="[Data].[Periodo (Month Index)].[All]" allUniqueName="[Data].[Periodo (Month Index)].[All]" dimensionUniqueName="[Data]" displayFolder="" count="0" memberValueDatatype="20" unbalanced="0" hidden="1"/>
    <cacheHierarchy uniqueName="[Measures].[1_Total_Soles]" caption="1_Total_Soles" measure="1" displayFolder="" measureGroup="Data" count="0" oneField="1">
      <fieldsUsage count="1">
        <fieldUsage x="0"/>
      </fieldsUsage>
    </cacheHierarchy>
    <cacheHierarchy uniqueName="[Measures].[2_Ventas_Netas]" caption="2_Ventas_Netas" measure="1" displayFolder="" measureGroup="Data" count="0" oneField="1">
      <fieldsUsage count="1">
        <fieldUsage x="1"/>
      </fieldsUsage>
    </cacheHierarchy>
    <cacheHierarchy uniqueName="[Measures].[3_Margen_Operativo_Pct]" caption="3_Margen_Operativo_Pct" measure="1" displayFolder="" measureGroup="Data" count="0" oneField="1">
      <fieldsUsage count="1">
        <fieldUsage x="2"/>
      </fieldsUsage>
    </cacheHierarchy>
    <cacheHierarchy uniqueName="[Measures].[__XL_Count Dim_Cuentas]" caption="__XL_Count Dim_Cuentas" measure="1" displayFolder="" measureGroup="Dim_Cuentas" count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</cacheHierarchies>
  <kpis count="0"/>
  <dimensions count="3">
    <dimension name="Data" uniqueName="[Data]" caption="Data"/>
    <dimension name="Dim_Cuentas" uniqueName="[Dim_Cuentas]" caption="Dim_Cuentas"/>
    <dimension measure="1" name="Measures" uniqueName="[Measures]" caption="Measures"/>
  </dimensions>
  <measureGroups count="2">
    <measureGroup name="Data" caption="Data"/>
    <measureGroup name="Dim_Cuentas" caption="Dim_Cuenta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ACE41-8A5D-4243-AD8D-DDCE61CD3C81}" name="PivotTable1" cacheId="3" applyNumberFormats="0" applyBorderFormats="0" applyFontFormats="0" applyPatternFormats="0" applyAlignmentFormats="0" applyWidthHeightFormats="1" dataCaption="Values" tag="12c6585a-3c03-4026-a541-bfe9810eaa56" updatedVersion="8" minRefreshableVersion="3" useAutoFormatting="1" itemPrintTitles="1" createdVersion="8" indent="0" outline="1" outlineData="1" multipleFieldFilters="0">
  <location ref="A3:D15" firstHeaderRow="0" firstDataRow="1" firstDataCol="1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7">
        <item x="0"/>
        <item x="1" e="0"/>
        <item x="2" e="0"/>
        <item x="3" e="0"/>
        <item x="4" e="0"/>
        <item x="5" e="0"/>
        <item x="6" e="0"/>
      </items>
    </pivotField>
  </pivotFields>
  <rowFields count="4">
    <field x="6"/>
    <field x="5"/>
    <field x="4"/>
    <field x="3"/>
  </rowFields>
  <rowItems count="12">
    <i>
      <x/>
    </i>
    <i r="1">
      <x/>
    </i>
    <i r="1">
      <x v="1"/>
    </i>
    <i r="1">
      <x v="2"/>
    </i>
    <i r="1">
      <x v="3"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3"/>
    <rowHierarchyUsage hierarchyUsage="4"/>
    <rowHierarchyUsage hierarchyUsage="5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9883F55-08C3-419E-B2E5-6D80C7C27830}" autoFormatId="16" applyNumberFormats="0" applyBorderFormats="0" applyFontFormats="0" applyPatternFormats="0" applyAlignmentFormats="0" applyWidthHeightFormats="0">
  <queryTableRefresh nextId="8">
    <queryTableFields count="7">
      <queryTableField id="1" name="Cuenta" tableColumnId="1"/>
      <queryTableField id="2" name="Periodo" tableColumnId="2"/>
      <queryTableField id="3" name="Monto" tableColumnId="3"/>
      <queryTableField id="4" name="Periodo (Year)" tableColumnId="4"/>
      <queryTableField id="5" name="Periodo (Quarter)" tableColumnId="5"/>
      <queryTableField id="6" name="Periodo (Month Index)" tableColumnId="6"/>
      <queryTableField id="7" name="Periodo (Month)" tableColumnId="7"/>
    </queryTableFields>
  </queryTableRefresh>
  <extLst>
    <ext xmlns:x15="http://schemas.microsoft.com/office/spreadsheetml/2010/11/main" uri="{883FBD77-0823-4a55-B5E3-86C4891E6966}">
      <x15:queryTable sourceDataName="Query - Data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E679F-CA2A-4147-9294-E0B3A8AD8B87}" name="Table1" displayName="Table1" ref="A1:AC107" totalsRowShown="0" headerRowDxfId="15" tableBorderDxfId="14">
  <autoFilter ref="A1:AC107" xr:uid="{4B4E679F-CA2A-4147-9294-E0B3A8AD8B87}"/>
  <tableColumns count="29">
    <tableColumn id="1" xr3:uid="{065B0D72-9A2D-4AC0-9563-200FD0914496}" name="Column1"/>
    <tableColumn id="2" xr3:uid="{8CEA4523-F8EB-42D1-B5F3-F4C1E9027197}" name="2016-Q1"/>
    <tableColumn id="3" xr3:uid="{BE9417FC-8AA1-4E60-A921-987077565D43}" name="2016-Q2"/>
    <tableColumn id="4" xr3:uid="{4338F3E0-D87B-43F1-AAE9-70C5E7D79FC5}" name="2016-Q3"/>
    <tableColumn id="5" xr3:uid="{C47A9A21-E7CA-42C4-8E66-24A3A68E8C3C}" name="2016-Q4"/>
    <tableColumn id="6" xr3:uid="{53F65C07-E08E-4B62-AAA8-031C57905B8E}" name="2017-Q1"/>
    <tableColumn id="7" xr3:uid="{971AF6FC-B446-4D15-9A1D-9891ABA25614}" name="2017-Q2"/>
    <tableColumn id="8" xr3:uid="{DA158C88-C332-4941-A7A1-F125510708CF}" name="2017-Q3"/>
    <tableColumn id="9" xr3:uid="{C5C8D147-ACF2-4E4C-897A-66E9AD92D958}" name="2017-Q4"/>
    <tableColumn id="10" xr3:uid="{2F6968AD-0069-4E54-AC07-58C036C67C2F}" name="2018-Q1"/>
    <tableColumn id="11" xr3:uid="{A26A19BD-AF20-4465-A01E-8A7E538791B8}" name="2018-Q2"/>
    <tableColumn id="12" xr3:uid="{9E51FCF4-A2FF-4E6F-BF9E-A4765B9BCC4A}" name="2018-Q3"/>
    <tableColumn id="13" xr3:uid="{8BA0A6F1-8FCA-4D59-81F1-FD81C427DE2A}" name="2018-Q4"/>
    <tableColumn id="14" xr3:uid="{03415628-96DE-4456-9B95-394814D85665}" name="2019-Q1"/>
    <tableColumn id="15" xr3:uid="{F9BF7A95-ED33-4B41-894B-82903B54A2ED}" name="2019-Q2"/>
    <tableColumn id="16" xr3:uid="{1CEB3AF2-B67C-4710-9E3F-C7197AEE65DE}" name="2019-Q3"/>
    <tableColumn id="17" xr3:uid="{AD8EF283-64B2-4A5A-8E54-EA094BCB3811}" name="2019-Q4"/>
    <tableColumn id="18" xr3:uid="{E18C9E75-14D4-452E-A2C9-98BCBAEBBDB5}" name="2020-Q1"/>
    <tableColumn id="19" xr3:uid="{4A7B8845-2030-470C-A22F-B2126BDF26B1}" name="2020-Q2"/>
    <tableColumn id="20" xr3:uid="{079B95CB-6733-481E-8F73-3B9D65852407}" name="2020-Q3"/>
    <tableColumn id="21" xr3:uid="{85BFD52A-3DF9-4CBE-9669-2BBA5962741E}" name="2020-Q4"/>
    <tableColumn id="22" xr3:uid="{00C633A7-84D5-4A26-886B-20576C234B9A}" name="2021-Q1"/>
    <tableColumn id="23" xr3:uid="{EE0619CF-F6AD-4F39-9504-1D4DC2C0AC34}" name="2021-Q2"/>
    <tableColumn id="24" xr3:uid="{0571C4A3-166F-4878-89E4-4962F1CACE14}" name="2021-Q3"/>
    <tableColumn id="25" xr3:uid="{47926ACC-DA9A-4E93-ACF1-5D39E71B5F9C}" name="2021-Q4"/>
    <tableColumn id="26" xr3:uid="{8BF4FDF0-FF39-45C5-AF5C-86BB5FF1B41E}" name="2022-Q1"/>
    <tableColumn id="27" xr3:uid="{B1FFE4CB-B8F1-4395-9BA0-5A23DFA415FB}" name="2022-Q2"/>
    <tableColumn id="28" xr3:uid="{26044164-C41C-42AD-9C94-52727C17A332}" name="2022-Q3"/>
    <tableColumn id="29" xr3:uid="{3DF2C330-9D10-4ABA-93C8-116FFC4EE3D9}" name="2022-Q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561F1-08C1-4BCC-9B55-0F5133DEE412}" name="Data" displayName="Data" ref="A1:G1625" tableType="queryTable" totalsRowShown="0">
  <autoFilter ref="A1:G1625" xr:uid="{7AE561F1-08C1-4BCC-9B55-0F5133DEE412}"/>
  <tableColumns count="7">
    <tableColumn id="1" xr3:uid="{AB5103C0-B887-4321-ACB2-1386F460E77C}" uniqueName="1" name="Cuenta" queryTableFieldId="1" dataDxfId="1"/>
    <tableColumn id="2" xr3:uid="{EC808592-D3A2-4AB1-BFDB-C52134722F33}" uniqueName="2" name="Periodo" queryTableFieldId="2" dataDxfId="0"/>
    <tableColumn id="3" xr3:uid="{FD58DAC1-9DCD-407B-9292-A4EDE5CFA979}" uniqueName="3" name="Monto" queryTableFieldId="3"/>
    <tableColumn id="4" xr3:uid="{2FB3CA3C-0472-4C7D-A7DF-A3A035F78C8A}" uniqueName="4" name="Periodo (Year)" queryTableFieldId="4"/>
    <tableColumn id="5" xr3:uid="{60BC0E18-BE2B-450D-9251-C6EAD99D7A41}" uniqueName="5" name="Periodo (Quarter)" queryTableFieldId="5"/>
    <tableColumn id="6" xr3:uid="{7DD00846-4B84-43F6-84FF-A64F400F7970}" uniqueName="6" name="Periodo (Month Index)" queryTableFieldId="6"/>
    <tableColumn id="7" xr3:uid="{683A428C-2F23-4BD7-BFB9-CAA4943D6AD8}" uniqueName="7" name="Periodo (Month)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FEEBEF-5794-4E0D-9CF9-8E195AA2DA60}" name="Dim_Cuentas" displayName="Dim_Cuentas" ref="A1:D54" totalsRowShown="0" headerRowDxfId="21" dataDxfId="20">
  <autoFilter ref="A1:D54" xr:uid="{33FEEBEF-5794-4E0D-9CF9-8E195AA2DA60}"/>
  <tableColumns count="4">
    <tableColumn id="1" xr3:uid="{A6948374-F6DE-44B2-BCE7-C49475FAFC2B}" name="Cuenta_Original" dataDxfId="19"/>
    <tableColumn id="2" xr3:uid="{0C46CE7B-73A8-4F49-AB34-18F36AB40CAC}" name="Cuenta_BI" dataDxfId="18"/>
    <tableColumn id="3" xr3:uid="{98F61F3D-4175-475B-9338-27E0A513FD0C}" name="Estado_Financiero" dataDxfId="17"/>
    <tableColumn id="4" xr3:uid="{2EFE60E8-1E5F-4351-A348-AC887BDDF4FA}" name="Categoria_Analisi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072F-6C2A-4024-BE6F-BFABDBB54376}">
  <dimension ref="A1:Q285"/>
  <sheetViews>
    <sheetView topLeftCell="A168" workbookViewId="0">
      <selection activeCell="A182" sqref="A182"/>
    </sheetView>
  </sheetViews>
  <sheetFormatPr defaultRowHeight="15" x14ac:dyDescent="0.25"/>
  <cols>
    <col min="1" max="1" width="50.7109375" customWidth="1"/>
    <col min="2" max="2" width="15.140625" customWidth="1"/>
    <col min="3" max="4" width="45.5703125" customWidth="1"/>
    <col min="5" max="6" width="46.85546875" customWidth="1"/>
    <col min="7" max="7" width="22.5703125" customWidth="1"/>
    <col min="8" max="8" width="29.85546875" customWidth="1"/>
    <col min="9" max="9" width="52.140625" customWidth="1"/>
    <col min="10" max="10" width="63.42578125" customWidth="1"/>
    <col min="11" max="11" width="63.28515625" customWidth="1"/>
    <col min="12" max="12" width="60.140625" customWidth="1"/>
    <col min="13" max="13" width="23.85546875" customWidth="1"/>
    <col min="14" max="14" width="55.85546875" customWidth="1"/>
    <col min="15" max="15" width="95.5703125" customWidth="1"/>
    <col min="16" max="16" width="27.7109375" customWidth="1"/>
    <col min="17" max="17" width="16.42578125" customWidth="1"/>
  </cols>
  <sheetData>
    <row r="1" spans="1:4" ht="18.75" x14ac:dyDescent="0.3">
      <c r="A1" s="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9</v>
      </c>
      <c r="D9" s="3" t="s">
        <v>10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5267</v>
      </c>
      <c r="D12" s="7">
        <v>19673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15</v>
      </c>
      <c r="B14" s="7">
        <v>0</v>
      </c>
      <c r="C14" s="7">
        <v>12638</v>
      </c>
      <c r="D14" s="7">
        <v>11323</v>
      </c>
    </row>
    <row r="15" spans="1:4" x14ac:dyDescent="0.25">
      <c r="A15" s="8" t="s">
        <v>16</v>
      </c>
      <c r="B15" s="9">
        <v>4</v>
      </c>
      <c r="C15" s="9">
        <v>10187</v>
      </c>
      <c r="D15" s="9">
        <v>9158</v>
      </c>
    </row>
    <row r="16" spans="1:4" x14ac:dyDescent="0.25">
      <c r="A16" s="6" t="s">
        <v>17</v>
      </c>
      <c r="B16" s="7">
        <v>0</v>
      </c>
      <c r="C16" s="7">
        <v>1135</v>
      </c>
      <c r="D16" s="7">
        <v>871</v>
      </c>
    </row>
    <row r="17" spans="1:4" x14ac:dyDescent="0.25">
      <c r="A17" s="8" t="s">
        <v>18</v>
      </c>
      <c r="B17" s="9">
        <v>0</v>
      </c>
      <c r="C17" s="9">
        <v>1316</v>
      </c>
      <c r="D17" s="9">
        <v>1294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1901</v>
      </c>
      <c r="D19" s="9">
        <v>1851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23</v>
      </c>
      <c r="B22" s="7">
        <v>6</v>
      </c>
      <c r="C22" s="7">
        <v>9829</v>
      </c>
      <c r="D22" s="7">
        <v>7861</v>
      </c>
    </row>
    <row r="23" spans="1:4" x14ac:dyDescent="0.25">
      <c r="A23" s="8" t="s">
        <v>24</v>
      </c>
      <c r="B23" s="9">
        <v>0</v>
      </c>
      <c r="C23" s="9">
        <v>29635</v>
      </c>
      <c r="D23" s="9">
        <v>40708</v>
      </c>
    </row>
    <row r="24" spans="1:4" x14ac:dyDescent="0.25">
      <c r="A24" s="6" t="s">
        <v>25</v>
      </c>
      <c r="B24" s="7">
        <v>0</v>
      </c>
      <c r="C24" s="7">
        <v>0</v>
      </c>
      <c r="D24" s="7">
        <v>0</v>
      </c>
    </row>
    <row r="25" spans="1:4" x14ac:dyDescent="0.25">
      <c r="A25" s="8" t="s">
        <v>26</v>
      </c>
      <c r="B25" s="9">
        <v>0</v>
      </c>
      <c r="C25" s="9">
        <v>0</v>
      </c>
      <c r="D25" s="9">
        <v>0</v>
      </c>
    </row>
    <row r="26" spans="1:4" x14ac:dyDescent="0.25">
      <c r="A26" s="6" t="s">
        <v>27</v>
      </c>
      <c r="B26" s="7">
        <v>0</v>
      </c>
      <c r="C26" s="7">
        <v>0</v>
      </c>
      <c r="D26" s="7">
        <v>0</v>
      </c>
    </row>
    <row r="27" spans="1:4" x14ac:dyDescent="0.25">
      <c r="A27" s="4" t="s">
        <v>28</v>
      </c>
      <c r="B27" s="5">
        <v>0</v>
      </c>
      <c r="C27" s="5">
        <v>29635</v>
      </c>
      <c r="D27" s="5">
        <v>40708</v>
      </c>
    </row>
    <row r="28" spans="1:4" x14ac:dyDescent="0.25">
      <c r="A28" s="4" t="s">
        <v>29</v>
      </c>
      <c r="B28" s="5">
        <v>0</v>
      </c>
      <c r="C28" s="5">
        <v>0</v>
      </c>
      <c r="D28" s="5">
        <v>0</v>
      </c>
    </row>
    <row r="29" spans="1:4" x14ac:dyDescent="0.25">
      <c r="A29" s="8" t="s">
        <v>14</v>
      </c>
      <c r="B29" s="9">
        <v>0</v>
      </c>
      <c r="C29" s="9">
        <v>0</v>
      </c>
      <c r="D29" s="9">
        <v>0</v>
      </c>
    </row>
    <row r="30" spans="1:4" x14ac:dyDescent="0.25">
      <c r="A30" s="6" t="s">
        <v>30</v>
      </c>
      <c r="B30" s="7">
        <v>7</v>
      </c>
      <c r="C30" s="7">
        <v>12806</v>
      </c>
      <c r="D30" s="7">
        <v>12806</v>
      </c>
    </row>
    <row r="31" spans="1:4" x14ac:dyDescent="0.25">
      <c r="A31" s="8" t="s">
        <v>15</v>
      </c>
      <c r="B31" s="9">
        <v>0</v>
      </c>
      <c r="C31" s="9">
        <v>5009</v>
      </c>
      <c r="D31" s="9">
        <v>5120</v>
      </c>
    </row>
    <row r="32" spans="1:4" x14ac:dyDescent="0.25">
      <c r="A32" s="6" t="s">
        <v>31</v>
      </c>
      <c r="B32" s="7">
        <v>0</v>
      </c>
      <c r="C32" s="7">
        <v>0</v>
      </c>
      <c r="D32" s="7">
        <v>0</v>
      </c>
    </row>
    <row r="33" spans="1:4" x14ac:dyDescent="0.25">
      <c r="A33" s="8" t="s">
        <v>32</v>
      </c>
      <c r="B33" s="9">
        <v>0</v>
      </c>
      <c r="C33" s="9">
        <v>3877</v>
      </c>
      <c r="D33" s="9">
        <v>3988</v>
      </c>
    </row>
    <row r="34" spans="1:4" x14ac:dyDescent="0.25">
      <c r="A34" s="6" t="s">
        <v>18</v>
      </c>
      <c r="B34" s="7">
        <v>0</v>
      </c>
      <c r="C34" s="7">
        <v>1132</v>
      </c>
      <c r="D34" s="7">
        <v>1132</v>
      </c>
    </row>
    <row r="35" spans="1:4" x14ac:dyDescent="0.25">
      <c r="A35" s="8" t="s">
        <v>19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34</v>
      </c>
      <c r="B38" s="7">
        <v>8</v>
      </c>
      <c r="C38" s="7">
        <v>163085</v>
      </c>
      <c r="D38" s="7">
        <v>155936</v>
      </c>
    </row>
    <row r="39" spans="1:4" x14ac:dyDescent="0.25">
      <c r="A39" s="8" t="s">
        <v>35</v>
      </c>
      <c r="B39" s="9">
        <v>9</v>
      </c>
      <c r="C39" s="9">
        <v>2213</v>
      </c>
      <c r="D39" s="9">
        <v>2232</v>
      </c>
    </row>
    <row r="40" spans="1:4" x14ac:dyDescent="0.25">
      <c r="A40" s="6" t="s">
        <v>36</v>
      </c>
      <c r="B40" s="7">
        <v>0</v>
      </c>
      <c r="C40" s="7">
        <v>0</v>
      </c>
      <c r="D40" s="7">
        <v>0</v>
      </c>
    </row>
    <row r="41" spans="1:4" x14ac:dyDescent="0.25">
      <c r="A41" s="8" t="s">
        <v>37</v>
      </c>
      <c r="B41" s="9">
        <v>0</v>
      </c>
      <c r="C41" s="9">
        <v>0</v>
      </c>
      <c r="D41" s="9">
        <v>0</v>
      </c>
    </row>
    <row r="42" spans="1:4" x14ac:dyDescent="0.25">
      <c r="A42" s="6" t="s">
        <v>23</v>
      </c>
      <c r="B42" s="7">
        <v>0</v>
      </c>
      <c r="C42" s="7">
        <v>0</v>
      </c>
      <c r="D42" s="7">
        <v>0</v>
      </c>
    </row>
    <row r="43" spans="1:4" x14ac:dyDescent="0.25">
      <c r="A43" s="4" t="s">
        <v>38</v>
      </c>
      <c r="B43" s="5">
        <v>0</v>
      </c>
      <c r="C43" s="5">
        <v>183113</v>
      </c>
      <c r="D43" s="5">
        <v>176094</v>
      </c>
    </row>
    <row r="44" spans="1:4" x14ac:dyDescent="0.25">
      <c r="A44" s="4" t="s">
        <v>39</v>
      </c>
      <c r="B44" s="5">
        <v>0</v>
      </c>
      <c r="C44" s="5">
        <v>212748</v>
      </c>
      <c r="D44" s="5">
        <v>216802</v>
      </c>
    </row>
    <row r="45" spans="1:4" x14ac:dyDescent="0.25">
      <c r="A45" s="4" t="s">
        <v>40</v>
      </c>
      <c r="B45" s="5">
        <v>0</v>
      </c>
      <c r="C45" s="5">
        <v>0</v>
      </c>
      <c r="D45" s="5">
        <v>0</v>
      </c>
    </row>
    <row r="46" spans="1:4" x14ac:dyDescent="0.25">
      <c r="A46" s="4" t="s">
        <v>41</v>
      </c>
      <c r="B46" s="5">
        <v>0</v>
      </c>
      <c r="C46" s="5">
        <v>0</v>
      </c>
      <c r="D46" s="5">
        <v>0</v>
      </c>
    </row>
    <row r="47" spans="1:4" x14ac:dyDescent="0.25">
      <c r="A47" s="8" t="s">
        <v>42</v>
      </c>
      <c r="B47" s="9">
        <v>10</v>
      </c>
      <c r="C47" s="9">
        <v>6489</v>
      </c>
      <c r="D47" s="9">
        <v>5930</v>
      </c>
    </row>
    <row r="48" spans="1:4" x14ac:dyDescent="0.25">
      <c r="A48" s="6" t="s">
        <v>43</v>
      </c>
      <c r="B48" s="7">
        <v>0</v>
      </c>
      <c r="C48" s="7">
        <v>24765</v>
      </c>
      <c r="D48" s="7">
        <v>25046</v>
      </c>
    </row>
    <row r="49" spans="1:4" x14ac:dyDescent="0.25">
      <c r="A49" s="8" t="s">
        <v>44</v>
      </c>
      <c r="B49" s="9">
        <v>11</v>
      </c>
      <c r="C49" s="9">
        <v>15343</v>
      </c>
      <c r="D49" s="9">
        <v>17221</v>
      </c>
    </row>
    <row r="50" spans="1:4" x14ac:dyDescent="0.25">
      <c r="A50" s="6" t="s">
        <v>45</v>
      </c>
      <c r="B50" s="7">
        <v>12</v>
      </c>
      <c r="C50" s="7">
        <v>7162</v>
      </c>
      <c r="D50" s="7">
        <v>5299</v>
      </c>
    </row>
    <row r="51" spans="1:4" x14ac:dyDescent="0.25">
      <c r="A51" s="8" t="s">
        <v>46</v>
      </c>
      <c r="B51" s="9">
        <v>0</v>
      </c>
      <c r="C51" s="9">
        <v>175</v>
      </c>
      <c r="D51" s="9">
        <v>478</v>
      </c>
    </row>
    <row r="52" spans="1:4" x14ac:dyDescent="0.25">
      <c r="A52" s="6" t="s">
        <v>47</v>
      </c>
      <c r="B52" s="7">
        <v>0</v>
      </c>
      <c r="C52" s="7">
        <v>2085</v>
      </c>
      <c r="D52" s="7">
        <v>2048</v>
      </c>
    </row>
    <row r="53" spans="1:4" x14ac:dyDescent="0.25">
      <c r="A53" s="8" t="s">
        <v>48</v>
      </c>
      <c r="B53" s="9">
        <v>0</v>
      </c>
      <c r="C53" s="9">
        <v>0</v>
      </c>
      <c r="D53" s="9">
        <v>0</v>
      </c>
    </row>
    <row r="54" spans="1:4" x14ac:dyDescent="0.25">
      <c r="A54" s="6" t="s">
        <v>49</v>
      </c>
      <c r="B54" s="7">
        <v>0</v>
      </c>
      <c r="C54" s="7">
        <v>0</v>
      </c>
      <c r="D54" s="7">
        <v>0</v>
      </c>
    </row>
    <row r="55" spans="1:4" x14ac:dyDescent="0.25">
      <c r="A55" s="8" t="s">
        <v>50</v>
      </c>
      <c r="B55" s="9">
        <v>0</v>
      </c>
      <c r="C55" s="9">
        <v>0</v>
      </c>
      <c r="D55" s="9">
        <v>0</v>
      </c>
    </row>
    <row r="56" spans="1:4" x14ac:dyDescent="0.25">
      <c r="A56" s="6" t="s">
        <v>51</v>
      </c>
      <c r="B56" s="7">
        <v>0</v>
      </c>
      <c r="C56" s="7">
        <v>0</v>
      </c>
      <c r="D56" s="7">
        <v>0</v>
      </c>
    </row>
    <row r="57" spans="1:4" x14ac:dyDescent="0.25">
      <c r="A57" s="8" t="s">
        <v>52</v>
      </c>
      <c r="B57" s="9">
        <v>0</v>
      </c>
      <c r="C57" s="9">
        <v>31254</v>
      </c>
      <c r="D57" s="9">
        <v>30976</v>
      </c>
    </row>
    <row r="58" spans="1:4" x14ac:dyDescent="0.25">
      <c r="A58" s="6" t="s">
        <v>53</v>
      </c>
      <c r="B58" s="7">
        <v>0</v>
      </c>
      <c r="C58" s="7">
        <v>0</v>
      </c>
      <c r="D58" s="7">
        <v>0</v>
      </c>
    </row>
    <row r="59" spans="1:4" x14ac:dyDescent="0.25">
      <c r="A59" s="4" t="s">
        <v>54</v>
      </c>
      <c r="B59" s="5">
        <v>0</v>
      </c>
      <c r="C59" s="5">
        <v>31254</v>
      </c>
      <c r="D59" s="5">
        <v>30976</v>
      </c>
    </row>
    <row r="60" spans="1:4" x14ac:dyDescent="0.25">
      <c r="A60" s="4" t="s">
        <v>55</v>
      </c>
      <c r="B60" s="5">
        <v>0</v>
      </c>
      <c r="C60" s="5">
        <v>0</v>
      </c>
      <c r="D60" s="5">
        <v>0</v>
      </c>
    </row>
    <row r="61" spans="1:4" x14ac:dyDescent="0.25">
      <c r="A61" s="8" t="s">
        <v>42</v>
      </c>
      <c r="B61" s="9">
        <v>10</v>
      </c>
      <c r="C61" s="9">
        <v>74904</v>
      </c>
      <c r="D61" s="9">
        <v>78462</v>
      </c>
    </row>
    <row r="62" spans="1:4" x14ac:dyDescent="0.25">
      <c r="A62" s="6" t="s">
        <v>43</v>
      </c>
      <c r="B62" s="7">
        <v>0</v>
      </c>
      <c r="C62" s="7">
        <v>5094</v>
      </c>
      <c r="D62" s="7">
        <v>5901</v>
      </c>
    </row>
    <row r="63" spans="1:4" x14ac:dyDescent="0.25">
      <c r="A63" s="8" t="s">
        <v>44</v>
      </c>
      <c r="B63" s="9">
        <v>0</v>
      </c>
      <c r="C63" s="9">
        <v>0</v>
      </c>
      <c r="D63" s="9">
        <v>0</v>
      </c>
    </row>
    <row r="64" spans="1:4" x14ac:dyDescent="0.25">
      <c r="A64" s="6" t="s">
        <v>45</v>
      </c>
      <c r="B64" s="7">
        <v>13</v>
      </c>
      <c r="C64" s="7">
        <v>5094</v>
      </c>
      <c r="D64" s="7">
        <v>5901</v>
      </c>
    </row>
    <row r="65" spans="1:4" x14ac:dyDescent="0.25">
      <c r="A65" s="8" t="s">
        <v>46</v>
      </c>
      <c r="B65" s="9">
        <v>0</v>
      </c>
      <c r="C65" s="9">
        <v>0</v>
      </c>
      <c r="D65" s="9">
        <v>0</v>
      </c>
    </row>
    <row r="66" spans="1:4" x14ac:dyDescent="0.25">
      <c r="A66" s="6" t="s">
        <v>56</v>
      </c>
      <c r="B66" s="7">
        <v>0</v>
      </c>
      <c r="C66" s="7">
        <v>0</v>
      </c>
      <c r="D66" s="7">
        <v>0</v>
      </c>
    </row>
    <row r="67" spans="1:4" x14ac:dyDescent="0.25">
      <c r="A67" s="8" t="s">
        <v>48</v>
      </c>
      <c r="B67" s="9">
        <v>0</v>
      </c>
      <c r="C67" s="9">
        <v>0</v>
      </c>
      <c r="D67" s="9">
        <v>0</v>
      </c>
    </row>
    <row r="68" spans="1:4" x14ac:dyDescent="0.25">
      <c r="A68" s="6" t="s">
        <v>49</v>
      </c>
      <c r="B68" s="7">
        <v>0</v>
      </c>
      <c r="C68" s="7">
        <v>0</v>
      </c>
      <c r="D68" s="7">
        <v>0</v>
      </c>
    </row>
    <row r="69" spans="1:4" x14ac:dyDescent="0.25">
      <c r="A69" s="8" t="s">
        <v>57</v>
      </c>
      <c r="B69" s="9">
        <v>14</v>
      </c>
      <c r="C69" s="9">
        <v>9606</v>
      </c>
      <c r="D69" s="9">
        <v>9396</v>
      </c>
    </row>
    <row r="70" spans="1:4" x14ac:dyDescent="0.25">
      <c r="A70" s="6" t="s">
        <v>58</v>
      </c>
      <c r="B70" s="7">
        <v>0</v>
      </c>
      <c r="C70" s="7">
        <v>0</v>
      </c>
      <c r="D70" s="7">
        <v>0</v>
      </c>
    </row>
    <row r="71" spans="1:4" x14ac:dyDescent="0.25">
      <c r="A71" s="4" t="s">
        <v>59</v>
      </c>
      <c r="B71" s="5">
        <v>0</v>
      </c>
      <c r="C71" s="5">
        <v>89604</v>
      </c>
      <c r="D71" s="5">
        <v>93759</v>
      </c>
    </row>
    <row r="72" spans="1:4" x14ac:dyDescent="0.25">
      <c r="A72" s="4" t="s">
        <v>60</v>
      </c>
      <c r="B72" s="5">
        <v>0</v>
      </c>
      <c r="C72" s="5">
        <v>120858</v>
      </c>
      <c r="D72" s="5">
        <v>124735</v>
      </c>
    </row>
    <row r="73" spans="1:4" x14ac:dyDescent="0.25">
      <c r="A73" s="4" t="s">
        <v>61</v>
      </c>
      <c r="B73" s="5">
        <v>0</v>
      </c>
      <c r="C73" s="5">
        <v>0</v>
      </c>
      <c r="D73" s="5">
        <v>0</v>
      </c>
    </row>
    <row r="74" spans="1:4" x14ac:dyDescent="0.25">
      <c r="A74" s="6" t="s">
        <v>62</v>
      </c>
      <c r="B74" s="7">
        <v>15</v>
      </c>
      <c r="C74" s="7">
        <v>61450</v>
      </c>
      <c r="D74" s="7">
        <v>61450</v>
      </c>
    </row>
    <row r="75" spans="1:4" x14ac:dyDescent="0.25">
      <c r="A75" s="8" t="s">
        <v>63</v>
      </c>
      <c r="B75" s="9">
        <v>0</v>
      </c>
      <c r="C75" s="9">
        <v>0</v>
      </c>
      <c r="D75" s="9">
        <v>0</v>
      </c>
    </row>
    <row r="76" spans="1:4" x14ac:dyDescent="0.25">
      <c r="A76" s="6" t="s">
        <v>64</v>
      </c>
      <c r="B76" s="7">
        <v>0</v>
      </c>
      <c r="C76" s="7">
        <v>0</v>
      </c>
      <c r="D76" s="7">
        <v>0</v>
      </c>
    </row>
    <row r="77" spans="1:4" x14ac:dyDescent="0.25">
      <c r="A77" s="8" t="s">
        <v>65</v>
      </c>
      <c r="B77" s="9">
        <v>0</v>
      </c>
      <c r="C77" s="9">
        <v>0</v>
      </c>
      <c r="D77" s="9">
        <v>0</v>
      </c>
    </row>
    <row r="78" spans="1:4" x14ac:dyDescent="0.25">
      <c r="A78" s="6" t="s">
        <v>66</v>
      </c>
      <c r="B78" s="7">
        <v>0</v>
      </c>
      <c r="C78" s="7">
        <v>1665</v>
      </c>
      <c r="D78" s="7">
        <v>1665</v>
      </c>
    </row>
    <row r="79" spans="1:4" x14ac:dyDescent="0.25">
      <c r="A79" s="8" t="s">
        <v>67</v>
      </c>
      <c r="B79" s="9">
        <v>0</v>
      </c>
      <c r="C79" s="9">
        <v>32545</v>
      </c>
      <c r="D79" s="9">
        <v>33319</v>
      </c>
    </row>
    <row r="80" spans="1:4" x14ac:dyDescent="0.25">
      <c r="A80" s="6" t="s">
        <v>68</v>
      </c>
      <c r="B80" s="7">
        <v>0</v>
      </c>
      <c r="C80" s="7" t="s">
        <v>69</v>
      </c>
      <c r="D80" s="7" t="s">
        <v>70</v>
      </c>
    </row>
    <row r="81" spans="1:6" x14ac:dyDescent="0.25">
      <c r="A81" s="4" t="s">
        <v>71</v>
      </c>
      <c r="B81" s="5">
        <v>0</v>
      </c>
      <c r="C81" s="5">
        <v>91890</v>
      </c>
      <c r="D81" s="5">
        <v>92067</v>
      </c>
    </row>
    <row r="82" spans="1:6" x14ac:dyDescent="0.25">
      <c r="A82" s="4" t="s">
        <v>72</v>
      </c>
      <c r="B82" s="5">
        <v>0</v>
      </c>
      <c r="C82" s="5">
        <v>212748</v>
      </c>
      <c r="D82" s="5">
        <v>216802</v>
      </c>
    </row>
    <row r="85" spans="1:6" ht="15.75" x14ac:dyDescent="0.25">
      <c r="A85" s="2" t="s">
        <v>73</v>
      </c>
    </row>
    <row r="86" spans="1:6" x14ac:dyDescent="0.25">
      <c r="A86" s="3" t="s">
        <v>7</v>
      </c>
      <c r="B86" s="3" t="s">
        <v>8</v>
      </c>
      <c r="C86" s="3" t="s">
        <v>74</v>
      </c>
      <c r="D86" s="3" t="s">
        <v>75</v>
      </c>
      <c r="E86" s="3" t="s">
        <v>76</v>
      </c>
      <c r="F86" s="3" t="s">
        <v>77</v>
      </c>
    </row>
    <row r="87" spans="1:6" x14ac:dyDescent="0.25">
      <c r="A87" s="4" t="s">
        <v>78</v>
      </c>
      <c r="B87" s="5">
        <v>0</v>
      </c>
      <c r="C87" s="5">
        <v>28755</v>
      </c>
      <c r="D87" s="5">
        <v>25093</v>
      </c>
      <c r="E87" s="5">
        <v>28755</v>
      </c>
      <c r="F87" s="5">
        <v>25093</v>
      </c>
    </row>
    <row r="88" spans="1:6" x14ac:dyDescent="0.25">
      <c r="A88" s="6" t="s">
        <v>79</v>
      </c>
      <c r="B88" s="7">
        <v>17</v>
      </c>
      <c r="C88" s="7" t="s">
        <v>80</v>
      </c>
      <c r="D88" s="7" t="s">
        <v>81</v>
      </c>
      <c r="E88" s="7" t="s">
        <v>80</v>
      </c>
      <c r="F88" s="7" t="s">
        <v>81</v>
      </c>
    </row>
    <row r="89" spans="1:6" x14ac:dyDescent="0.25">
      <c r="A89" s="4" t="s">
        <v>82</v>
      </c>
      <c r="B89" s="5">
        <v>0</v>
      </c>
      <c r="C89" s="5">
        <v>8947</v>
      </c>
      <c r="D89" s="5">
        <v>8381</v>
      </c>
      <c r="E89" s="5">
        <v>8947</v>
      </c>
      <c r="F89" s="5">
        <v>8381</v>
      </c>
    </row>
    <row r="90" spans="1:6" x14ac:dyDescent="0.25">
      <c r="A90" s="6" t="s">
        <v>83</v>
      </c>
      <c r="B90" s="7">
        <v>19</v>
      </c>
      <c r="C90" s="7" t="s">
        <v>84</v>
      </c>
      <c r="D90" s="7" t="s">
        <v>85</v>
      </c>
      <c r="E90" s="7" t="s">
        <v>84</v>
      </c>
      <c r="F90" s="7" t="s">
        <v>85</v>
      </c>
    </row>
    <row r="91" spans="1:6" x14ac:dyDescent="0.25">
      <c r="A91" s="8" t="s">
        <v>86</v>
      </c>
      <c r="B91" s="9">
        <v>18</v>
      </c>
      <c r="C91" s="9" t="s">
        <v>87</v>
      </c>
      <c r="D91" s="9" t="s">
        <v>88</v>
      </c>
      <c r="E91" s="9" t="s">
        <v>87</v>
      </c>
      <c r="F91" s="9" t="s">
        <v>88</v>
      </c>
    </row>
    <row r="92" spans="1:6" x14ac:dyDescent="0.25">
      <c r="A92" s="6" t="s">
        <v>89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</row>
    <row r="93" spans="1:6" x14ac:dyDescent="0.25">
      <c r="A93" s="8" t="s">
        <v>90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</row>
    <row r="94" spans="1:6" x14ac:dyDescent="0.25">
      <c r="A94" s="6" t="s">
        <v>91</v>
      </c>
      <c r="B94" s="7">
        <v>0</v>
      </c>
      <c r="C94" s="7" t="s">
        <v>92</v>
      </c>
      <c r="D94" s="7" t="s">
        <v>93</v>
      </c>
      <c r="E94" s="7" t="s">
        <v>92</v>
      </c>
      <c r="F94" s="7" t="s">
        <v>93</v>
      </c>
    </row>
    <row r="95" spans="1:6" x14ac:dyDescent="0.25">
      <c r="A95" s="8" t="s">
        <v>94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</row>
    <row r="96" spans="1:6" x14ac:dyDescent="0.25">
      <c r="A96" s="4" t="s">
        <v>95</v>
      </c>
      <c r="B96" s="5">
        <v>0</v>
      </c>
      <c r="C96" s="5" t="s">
        <v>96</v>
      </c>
      <c r="D96" s="5">
        <v>24</v>
      </c>
      <c r="E96" s="5" t="s">
        <v>96</v>
      </c>
      <c r="F96" s="5">
        <v>24</v>
      </c>
    </row>
    <row r="97" spans="1:6" x14ac:dyDescent="0.25">
      <c r="A97" s="8" t="s">
        <v>97</v>
      </c>
      <c r="B97" s="9">
        <v>0</v>
      </c>
      <c r="C97" s="9">
        <v>117</v>
      </c>
      <c r="D97" s="9">
        <v>126</v>
      </c>
      <c r="E97" s="9">
        <v>117</v>
      </c>
      <c r="F97" s="9">
        <v>126</v>
      </c>
    </row>
    <row r="98" spans="1:6" x14ac:dyDescent="0.25">
      <c r="A98" s="6" t="s">
        <v>98</v>
      </c>
      <c r="B98" s="7">
        <v>0</v>
      </c>
      <c r="C98" s="7" t="s">
        <v>99</v>
      </c>
      <c r="D98" s="7" t="s">
        <v>100</v>
      </c>
      <c r="E98" s="7" t="s">
        <v>99</v>
      </c>
      <c r="F98" s="7" t="s">
        <v>100</v>
      </c>
    </row>
    <row r="99" spans="1:6" x14ac:dyDescent="0.25">
      <c r="A99" s="8" t="s">
        <v>101</v>
      </c>
      <c r="B99" s="9">
        <v>0</v>
      </c>
      <c r="C99" s="9">
        <v>1702</v>
      </c>
      <c r="D99" s="9" t="s">
        <v>102</v>
      </c>
      <c r="E99" s="9">
        <v>1702</v>
      </c>
      <c r="F99" s="9" t="s">
        <v>102</v>
      </c>
    </row>
    <row r="100" spans="1:6" x14ac:dyDescent="0.25">
      <c r="A100" s="6" t="s">
        <v>103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</row>
    <row r="101" spans="1:6" x14ac:dyDescent="0.25">
      <c r="A101" s="8" t="s">
        <v>104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105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</row>
    <row r="103" spans="1:6" x14ac:dyDescent="0.25">
      <c r="A103" s="4" t="s">
        <v>106</v>
      </c>
      <c r="B103" s="5">
        <v>0</v>
      </c>
      <c r="C103" s="5" t="s">
        <v>107</v>
      </c>
      <c r="D103" s="5" t="s">
        <v>108</v>
      </c>
      <c r="E103" s="5" t="s">
        <v>107</v>
      </c>
      <c r="F103" s="5" t="s">
        <v>108</v>
      </c>
    </row>
    <row r="104" spans="1:6" x14ac:dyDescent="0.25">
      <c r="A104" s="6" t="s">
        <v>109</v>
      </c>
      <c r="B104" s="7">
        <v>0</v>
      </c>
      <c r="C104" s="7">
        <v>0</v>
      </c>
      <c r="D104" s="7" t="s">
        <v>110</v>
      </c>
      <c r="E104" s="7">
        <v>0</v>
      </c>
      <c r="F104" s="7" t="s">
        <v>110</v>
      </c>
    </row>
    <row r="105" spans="1:6" x14ac:dyDescent="0.25">
      <c r="A105" s="8" t="s">
        <v>111</v>
      </c>
      <c r="B105" s="9">
        <v>0</v>
      </c>
      <c r="C105" s="9" t="s">
        <v>107</v>
      </c>
      <c r="D105" s="9" t="s">
        <v>112</v>
      </c>
      <c r="E105" s="9" t="s">
        <v>107</v>
      </c>
      <c r="F105" s="9" t="s">
        <v>112</v>
      </c>
    </row>
    <row r="106" spans="1:6" x14ac:dyDescent="0.25">
      <c r="A106" s="6" t="s">
        <v>113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4" t="s">
        <v>114</v>
      </c>
      <c r="B107" s="5">
        <v>0</v>
      </c>
      <c r="C107" s="5" t="s">
        <v>107</v>
      </c>
      <c r="D107" s="5" t="s">
        <v>112</v>
      </c>
      <c r="E107" s="5" t="s">
        <v>107</v>
      </c>
      <c r="F107" s="5" t="s">
        <v>112</v>
      </c>
    </row>
    <row r="108" spans="1:6" x14ac:dyDescent="0.25">
      <c r="A108" s="4" t="s">
        <v>115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</row>
    <row r="109" spans="1:6" x14ac:dyDescent="0.25">
      <c r="A109" s="4" t="s">
        <v>116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</row>
    <row r="110" spans="1:6" x14ac:dyDescent="0.25">
      <c r="A110" s="6" t="s">
        <v>117</v>
      </c>
      <c r="B110" s="7">
        <v>0</v>
      </c>
      <c r="C110" s="7" t="s">
        <v>118</v>
      </c>
      <c r="D110" s="7" t="s">
        <v>119</v>
      </c>
      <c r="E110" s="7" t="s">
        <v>118</v>
      </c>
      <c r="F110" s="7" t="s">
        <v>119</v>
      </c>
    </row>
    <row r="111" spans="1:6" x14ac:dyDescent="0.25">
      <c r="A111" s="8" t="s">
        <v>120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</row>
    <row r="112" spans="1:6" x14ac:dyDescent="0.25">
      <c r="A112" s="6" t="s">
        <v>121</v>
      </c>
      <c r="B112" s="7">
        <v>0</v>
      </c>
      <c r="C112" s="7" t="s">
        <v>118</v>
      </c>
      <c r="D112" s="7" t="s">
        <v>119</v>
      </c>
      <c r="E112" s="7" t="s">
        <v>118</v>
      </c>
      <c r="F112" s="7" t="s">
        <v>119</v>
      </c>
    </row>
    <row r="113" spans="1:17" x14ac:dyDescent="0.25">
      <c r="A113" s="8" t="s">
        <v>122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17" x14ac:dyDescent="0.25">
      <c r="A114" s="6" t="s">
        <v>123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</row>
    <row r="115" spans="1:17" x14ac:dyDescent="0.25">
      <c r="A115" s="8" t="s">
        <v>124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</row>
    <row r="116" spans="1:17" x14ac:dyDescent="0.25">
      <c r="A116" s="4" t="s">
        <v>125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17" x14ac:dyDescent="0.25">
      <c r="A117" s="8" t="s">
        <v>126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</row>
    <row r="118" spans="1:17" x14ac:dyDescent="0.25">
      <c r="A118" s="6" t="s">
        <v>127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17" x14ac:dyDescent="0.25">
      <c r="A119" s="8" t="s">
        <v>128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</row>
    <row r="120" spans="1:17" x14ac:dyDescent="0.25">
      <c r="A120" s="6" t="s">
        <v>129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17" x14ac:dyDescent="0.25">
      <c r="A121" s="8" t="s">
        <v>130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17" x14ac:dyDescent="0.25">
      <c r="A122" s="6" t="s">
        <v>131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5" spans="1:17" ht="15.75" x14ac:dyDescent="0.25">
      <c r="A125" s="2" t="s">
        <v>132</v>
      </c>
    </row>
    <row r="126" spans="1:17" x14ac:dyDescent="0.25">
      <c r="A126" s="3" t="s">
        <v>7</v>
      </c>
      <c r="B126" s="3" t="s">
        <v>62</v>
      </c>
      <c r="C126" s="3" t="s">
        <v>63</v>
      </c>
      <c r="D126" s="3" t="s">
        <v>64</v>
      </c>
      <c r="E126" s="3" t="s">
        <v>65</v>
      </c>
      <c r="F126" s="3" t="s">
        <v>66</v>
      </c>
      <c r="G126" s="3" t="s">
        <v>67</v>
      </c>
      <c r="H126" s="3" t="s">
        <v>133</v>
      </c>
      <c r="I126" s="3" t="s">
        <v>134</v>
      </c>
      <c r="J126" s="3" t="s">
        <v>135</v>
      </c>
      <c r="K126" s="3" t="s">
        <v>136</v>
      </c>
      <c r="L126" s="3" t="s">
        <v>137</v>
      </c>
      <c r="M126" s="3" t="s">
        <v>138</v>
      </c>
      <c r="N126" s="3" t="s">
        <v>139</v>
      </c>
      <c r="O126" s="3" t="s">
        <v>140</v>
      </c>
      <c r="P126" s="3" t="s">
        <v>68</v>
      </c>
      <c r="Q126" s="3" t="s">
        <v>71</v>
      </c>
    </row>
    <row r="127" spans="1:17" x14ac:dyDescent="0.25">
      <c r="A127" s="8" t="s">
        <v>141</v>
      </c>
      <c r="B127" s="9">
        <v>61450</v>
      </c>
      <c r="C127" s="9">
        <v>0</v>
      </c>
      <c r="D127" s="9">
        <v>0</v>
      </c>
      <c r="E127" s="9">
        <v>0</v>
      </c>
      <c r="F127" s="9">
        <v>1370</v>
      </c>
      <c r="G127" s="9">
        <v>34383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 t="s">
        <v>142</v>
      </c>
      <c r="P127" s="9" t="s">
        <v>142</v>
      </c>
      <c r="Q127" s="9">
        <v>94044</v>
      </c>
    </row>
    <row r="128" spans="1:17" x14ac:dyDescent="0.25">
      <c r="A128" s="6" t="s">
        <v>143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</row>
    <row r="129" spans="1:17" x14ac:dyDescent="0.25">
      <c r="A129" s="8" t="s">
        <v>144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</row>
    <row r="130" spans="1:17" x14ac:dyDescent="0.25">
      <c r="A130" s="6" t="s">
        <v>145</v>
      </c>
      <c r="B130" s="7">
        <v>61450</v>
      </c>
      <c r="C130" s="7">
        <v>0</v>
      </c>
      <c r="D130" s="7">
        <v>0</v>
      </c>
      <c r="E130" s="7">
        <v>0</v>
      </c>
      <c r="F130" s="7">
        <v>1370</v>
      </c>
      <c r="G130" s="7">
        <v>34383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 t="s">
        <v>142</v>
      </c>
      <c r="P130" s="7" t="s">
        <v>142</v>
      </c>
      <c r="Q130" s="7">
        <v>94044</v>
      </c>
    </row>
    <row r="131" spans="1:17" x14ac:dyDescent="0.25">
      <c r="A131" s="8" t="s">
        <v>146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</row>
    <row r="132" spans="1:17" x14ac:dyDescent="0.25">
      <c r="A132" s="6" t="s">
        <v>147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</row>
    <row r="133" spans="1:17" x14ac:dyDescent="0.25">
      <c r="A133" s="8" t="s">
        <v>148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 t="s">
        <v>112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 t="s">
        <v>112</v>
      </c>
    </row>
    <row r="134" spans="1:17" x14ac:dyDescent="0.25">
      <c r="A134" s="6" t="s">
        <v>149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 t="s">
        <v>150</v>
      </c>
      <c r="P134" s="7" t="s">
        <v>150</v>
      </c>
      <c r="Q134" s="7" t="s">
        <v>150</v>
      </c>
    </row>
    <row r="135" spans="1:17" x14ac:dyDescent="0.25">
      <c r="A135" s="8" t="s">
        <v>151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 t="s">
        <v>112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 t="s">
        <v>150</v>
      </c>
      <c r="P135" s="9" t="s">
        <v>150</v>
      </c>
      <c r="Q135" s="9" t="s">
        <v>152</v>
      </c>
    </row>
    <row r="136" spans="1:17" x14ac:dyDescent="0.25">
      <c r="A136" s="6" t="s">
        <v>153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</row>
    <row r="137" spans="1:17" x14ac:dyDescent="0.25">
      <c r="A137" s="8" t="s">
        <v>154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</row>
    <row r="138" spans="1:17" x14ac:dyDescent="0.25">
      <c r="A138" s="6" t="s">
        <v>155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</row>
    <row r="139" spans="1:17" x14ac:dyDescent="0.25">
      <c r="A139" s="8" t="s">
        <v>156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</row>
    <row r="140" spans="1:17" x14ac:dyDescent="0.25">
      <c r="A140" s="6" t="s">
        <v>157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</row>
    <row r="141" spans="1:17" x14ac:dyDescent="0.25">
      <c r="A141" s="8" t="s">
        <v>158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</row>
    <row r="142" spans="1:17" x14ac:dyDescent="0.25">
      <c r="A142" s="6" t="s">
        <v>159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</row>
    <row r="143" spans="1:17" x14ac:dyDescent="0.25">
      <c r="A143" s="8" t="s">
        <v>160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</row>
    <row r="144" spans="1:17" x14ac:dyDescent="0.25">
      <c r="A144" s="6" t="s">
        <v>161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 t="s">
        <v>112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 t="s">
        <v>150</v>
      </c>
      <c r="P144" s="7" t="s">
        <v>150</v>
      </c>
      <c r="Q144" s="7" t="s">
        <v>152</v>
      </c>
    </row>
    <row r="145" spans="1:17" x14ac:dyDescent="0.25">
      <c r="A145" s="8" t="s">
        <v>162</v>
      </c>
      <c r="B145" s="9">
        <v>61450</v>
      </c>
      <c r="C145" s="9">
        <v>0</v>
      </c>
      <c r="D145" s="9">
        <v>0</v>
      </c>
      <c r="E145" s="9">
        <v>0</v>
      </c>
      <c r="F145" s="9">
        <v>1370</v>
      </c>
      <c r="G145" s="9">
        <v>32115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 t="s">
        <v>163</v>
      </c>
      <c r="P145" s="9" t="s">
        <v>163</v>
      </c>
      <c r="Q145" s="9">
        <v>91294</v>
      </c>
    </row>
    <row r="146" spans="1:17" x14ac:dyDescent="0.25">
      <c r="A146" s="6" t="s">
        <v>164</v>
      </c>
      <c r="B146" s="7">
        <v>61450</v>
      </c>
      <c r="C146" s="7">
        <v>0</v>
      </c>
      <c r="D146" s="7">
        <v>0</v>
      </c>
      <c r="E146" s="7">
        <v>0</v>
      </c>
      <c r="F146" s="7">
        <v>1665</v>
      </c>
      <c r="G146" s="7">
        <v>33319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 t="s">
        <v>70</v>
      </c>
      <c r="P146" s="7" t="s">
        <v>70</v>
      </c>
      <c r="Q146" s="7">
        <v>92067</v>
      </c>
    </row>
    <row r="147" spans="1:17" x14ac:dyDescent="0.25">
      <c r="A147" s="8" t="s">
        <v>143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</row>
    <row r="148" spans="1:17" x14ac:dyDescent="0.25">
      <c r="A148" s="6" t="s">
        <v>144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</row>
    <row r="149" spans="1:17" x14ac:dyDescent="0.25">
      <c r="A149" s="8" t="s">
        <v>145</v>
      </c>
      <c r="B149" s="9">
        <v>61450</v>
      </c>
      <c r="C149" s="9">
        <v>0</v>
      </c>
      <c r="D149" s="9">
        <v>0</v>
      </c>
      <c r="E149" s="9">
        <v>0</v>
      </c>
      <c r="F149" s="9">
        <v>1665</v>
      </c>
      <c r="G149" s="9">
        <v>33319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 t="s">
        <v>70</v>
      </c>
      <c r="P149" s="9" t="s">
        <v>70</v>
      </c>
      <c r="Q149" s="9">
        <v>92067</v>
      </c>
    </row>
    <row r="150" spans="1:17" x14ac:dyDescent="0.25">
      <c r="A150" s="6" t="s">
        <v>146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</row>
    <row r="151" spans="1:17" x14ac:dyDescent="0.25">
      <c r="A151" s="8" t="s">
        <v>147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</row>
    <row r="152" spans="1:17" x14ac:dyDescent="0.25">
      <c r="A152" s="6" t="s">
        <v>148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 t="s">
        <v>107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 t="s">
        <v>107</v>
      </c>
    </row>
    <row r="153" spans="1:17" x14ac:dyDescent="0.25">
      <c r="A153" s="8" t="s">
        <v>149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597</v>
      </c>
      <c r="P153" s="9">
        <v>597</v>
      </c>
      <c r="Q153" s="9">
        <v>597</v>
      </c>
    </row>
    <row r="154" spans="1:17" x14ac:dyDescent="0.25">
      <c r="A154" s="6" t="s">
        <v>151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 t="s">
        <v>107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597</v>
      </c>
      <c r="P154" s="7">
        <v>597</v>
      </c>
      <c r="Q154" s="7" t="s">
        <v>165</v>
      </c>
    </row>
    <row r="155" spans="1:17" x14ac:dyDescent="0.25">
      <c r="A155" s="8" t="s">
        <v>153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</row>
    <row r="156" spans="1:17" x14ac:dyDescent="0.25">
      <c r="A156" s="6" t="s">
        <v>154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</row>
    <row r="157" spans="1:17" x14ac:dyDescent="0.25">
      <c r="A157" s="8" t="s">
        <v>155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</row>
    <row r="158" spans="1:17" x14ac:dyDescent="0.25">
      <c r="A158" s="6" t="s">
        <v>156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</row>
    <row r="159" spans="1:17" x14ac:dyDescent="0.25">
      <c r="A159" s="8" t="s">
        <v>157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</row>
    <row r="160" spans="1:17" x14ac:dyDescent="0.25">
      <c r="A160" s="6" t="s">
        <v>158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</row>
    <row r="161" spans="1:17" x14ac:dyDescent="0.25">
      <c r="A161" s="8" t="s">
        <v>159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</row>
    <row r="162" spans="1:17" x14ac:dyDescent="0.25">
      <c r="A162" s="6" t="s">
        <v>160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</row>
    <row r="163" spans="1:17" x14ac:dyDescent="0.25">
      <c r="A163" s="8" t="s">
        <v>161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 t="s">
        <v>107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597</v>
      </c>
      <c r="P163" s="9">
        <v>597</v>
      </c>
      <c r="Q163" s="9" t="s">
        <v>165</v>
      </c>
    </row>
    <row r="164" spans="1:17" x14ac:dyDescent="0.25">
      <c r="A164" s="6" t="s">
        <v>166</v>
      </c>
      <c r="B164" s="7">
        <v>61450</v>
      </c>
      <c r="C164" s="7">
        <v>0</v>
      </c>
      <c r="D164" s="7">
        <v>0</v>
      </c>
      <c r="E164" s="7">
        <v>0</v>
      </c>
      <c r="F164" s="7">
        <v>1665</v>
      </c>
      <c r="G164" s="7">
        <v>32545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 t="s">
        <v>69</v>
      </c>
      <c r="P164" s="7" t="s">
        <v>69</v>
      </c>
      <c r="Q164" s="7">
        <v>91890</v>
      </c>
    </row>
    <row r="167" spans="1:17" ht="15.75" x14ac:dyDescent="0.25">
      <c r="A167" s="2" t="s">
        <v>167</v>
      </c>
    </row>
    <row r="168" spans="1:17" x14ac:dyDescent="0.25">
      <c r="A168" s="3" t="s">
        <v>7</v>
      </c>
      <c r="B168" s="3" t="s">
        <v>8</v>
      </c>
      <c r="C168" s="3" t="s">
        <v>168</v>
      </c>
      <c r="D168" s="3" t="s">
        <v>169</v>
      </c>
    </row>
    <row r="169" spans="1:17" x14ac:dyDescent="0.25">
      <c r="A169" s="4" t="s">
        <v>170</v>
      </c>
      <c r="B169" s="5">
        <v>0</v>
      </c>
      <c r="C169" s="5">
        <v>0</v>
      </c>
      <c r="D169" s="5">
        <v>0</v>
      </c>
    </row>
    <row r="170" spans="1:17" x14ac:dyDescent="0.25">
      <c r="A170" s="4" t="s">
        <v>171</v>
      </c>
      <c r="B170" s="5">
        <v>0</v>
      </c>
      <c r="C170" s="5">
        <v>0</v>
      </c>
      <c r="D170" s="5">
        <v>0</v>
      </c>
    </row>
    <row r="171" spans="1:17" x14ac:dyDescent="0.25">
      <c r="A171" s="8" t="s">
        <v>172</v>
      </c>
      <c r="B171" s="9">
        <v>0</v>
      </c>
      <c r="C171" s="9">
        <v>26459</v>
      </c>
      <c r="D171" s="9">
        <v>25758</v>
      </c>
    </row>
    <row r="172" spans="1:17" x14ac:dyDescent="0.25">
      <c r="A172" s="6" t="s">
        <v>173</v>
      </c>
      <c r="B172" s="7">
        <v>0</v>
      </c>
      <c r="C172" s="7">
        <v>0</v>
      </c>
      <c r="D172" s="7">
        <v>0</v>
      </c>
    </row>
    <row r="173" spans="1:17" x14ac:dyDescent="0.25">
      <c r="A173" s="8" t="s">
        <v>174</v>
      </c>
      <c r="B173" s="9">
        <v>0</v>
      </c>
      <c r="C173" s="9">
        <v>0</v>
      </c>
      <c r="D173" s="9">
        <v>0</v>
      </c>
    </row>
    <row r="174" spans="1:17" x14ac:dyDescent="0.25">
      <c r="A174" s="6" t="s">
        <v>175</v>
      </c>
      <c r="B174" s="7">
        <v>0</v>
      </c>
      <c r="C174" s="7">
        <v>0</v>
      </c>
      <c r="D174" s="7">
        <v>0</v>
      </c>
    </row>
    <row r="175" spans="1:17" x14ac:dyDescent="0.25">
      <c r="A175" s="8" t="s">
        <v>176</v>
      </c>
      <c r="B175" s="9">
        <v>0</v>
      </c>
      <c r="C175" s="9">
        <v>0</v>
      </c>
      <c r="D175" s="9">
        <v>0</v>
      </c>
    </row>
    <row r="176" spans="1:17" x14ac:dyDescent="0.25">
      <c r="A176" s="4" t="s">
        <v>177</v>
      </c>
      <c r="B176" s="5">
        <v>0</v>
      </c>
      <c r="C176" s="5">
        <v>0</v>
      </c>
      <c r="D176" s="5">
        <v>0</v>
      </c>
    </row>
    <row r="177" spans="1:4" x14ac:dyDescent="0.25">
      <c r="A177" s="8" t="s">
        <v>178</v>
      </c>
      <c r="B177" s="9">
        <v>0</v>
      </c>
      <c r="C177" s="9" t="s">
        <v>179</v>
      </c>
      <c r="D177" s="9" t="s">
        <v>180</v>
      </c>
    </row>
    <row r="178" spans="1:4" x14ac:dyDescent="0.25">
      <c r="A178" s="6" t="s">
        <v>174</v>
      </c>
      <c r="B178" s="7">
        <v>0</v>
      </c>
      <c r="C178" s="7">
        <v>0</v>
      </c>
      <c r="D178" s="7">
        <v>0</v>
      </c>
    </row>
    <row r="179" spans="1:4" x14ac:dyDescent="0.25">
      <c r="A179" s="8" t="s">
        <v>181</v>
      </c>
      <c r="B179" s="9">
        <v>0</v>
      </c>
      <c r="C179" s="9" t="s">
        <v>182</v>
      </c>
      <c r="D179" s="9" t="s">
        <v>183</v>
      </c>
    </row>
    <row r="180" spans="1:4" x14ac:dyDescent="0.25">
      <c r="A180" s="6" t="s">
        <v>184</v>
      </c>
      <c r="B180" s="7">
        <v>0</v>
      </c>
      <c r="C180" s="7">
        <v>0</v>
      </c>
      <c r="D180" s="7">
        <v>0</v>
      </c>
    </row>
    <row r="181" spans="1:4" x14ac:dyDescent="0.25">
      <c r="A181" s="8" t="s">
        <v>185</v>
      </c>
      <c r="B181" s="9">
        <v>0</v>
      </c>
      <c r="C181" s="9" t="s">
        <v>186</v>
      </c>
      <c r="D181" s="9" t="s">
        <v>187</v>
      </c>
    </row>
    <row r="182" spans="1:4" x14ac:dyDescent="0.25">
      <c r="A182" s="6" t="s">
        <v>188</v>
      </c>
      <c r="B182" s="7">
        <v>0</v>
      </c>
      <c r="C182" s="7">
        <v>940</v>
      </c>
      <c r="D182" s="7">
        <v>5935</v>
      </c>
    </row>
    <row r="183" spans="1:4" x14ac:dyDescent="0.25">
      <c r="A183" s="8" t="s">
        <v>189</v>
      </c>
      <c r="B183" s="9">
        <v>0</v>
      </c>
      <c r="C183" s="9">
        <v>0</v>
      </c>
      <c r="D183" s="9">
        <v>0</v>
      </c>
    </row>
    <row r="184" spans="1:4" x14ac:dyDescent="0.25">
      <c r="A184" s="6" t="s">
        <v>190</v>
      </c>
      <c r="B184" s="7">
        <v>0</v>
      </c>
      <c r="C184" s="7" t="s">
        <v>191</v>
      </c>
      <c r="D184" s="7" t="s">
        <v>192</v>
      </c>
    </row>
    <row r="185" spans="1:4" x14ac:dyDescent="0.25">
      <c r="A185" s="8" t="s">
        <v>193</v>
      </c>
      <c r="B185" s="9">
        <v>0</v>
      </c>
      <c r="C185" s="9">
        <v>0</v>
      </c>
      <c r="D185" s="9">
        <v>0</v>
      </c>
    </row>
    <row r="186" spans="1:4" x14ac:dyDescent="0.25">
      <c r="A186" s="6" t="s">
        <v>194</v>
      </c>
      <c r="B186" s="7">
        <v>0</v>
      </c>
      <c r="C186" s="7">
        <v>0</v>
      </c>
      <c r="D186" s="7">
        <v>0</v>
      </c>
    </row>
    <row r="187" spans="1:4" x14ac:dyDescent="0.25">
      <c r="A187" s="8" t="s">
        <v>195</v>
      </c>
      <c r="B187" s="9">
        <v>0</v>
      </c>
      <c r="C187" s="9">
        <v>0</v>
      </c>
      <c r="D187" s="9">
        <v>0</v>
      </c>
    </row>
    <row r="188" spans="1:4" x14ac:dyDescent="0.25">
      <c r="A188" s="6" t="s">
        <v>196</v>
      </c>
      <c r="B188" s="7">
        <v>0</v>
      </c>
      <c r="C188" s="7">
        <v>0</v>
      </c>
      <c r="D188" s="7" t="s">
        <v>197</v>
      </c>
    </row>
    <row r="189" spans="1:4" x14ac:dyDescent="0.25">
      <c r="A189" s="4" t="s">
        <v>198</v>
      </c>
      <c r="B189" s="5">
        <v>0</v>
      </c>
      <c r="C189" s="5" t="s">
        <v>199</v>
      </c>
      <c r="D189" s="5">
        <v>2398</v>
      </c>
    </row>
    <row r="190" spans="1:4" x14ac:dyDescent="0.25">
      <c r="A190" s="4" t="s">
        <v>200</v>
      </c>
      <c r="B190" s="5">
        <v>0</v>
      </c>
      <c r="C190" s="5">
        <v>0</v>
      </c>
      <c r="D190" s="5">
        <v>0</v>
      </c>
    </row>
    <row r="191" spans="1:4" x14ac:dyDescent="0.25">
      <c r="A191" s="4" t="s">
        <v>201</v>
      </c>
      <c r="B191" s="5">
        <v>0</v>
      </c>
      <c r="C191" s="5">
        <v>0</v>
      </c>
      <c r="D191" s="5">
        <v>0</v>
      </c>
    </row>
    <row r="192" spans="1:4" x14ac:dyDescent="0.25">
      <c r="A192" s="6" t="s">
        <v>202</v>
      </c>
      <c r="B192" s="7">
        <v>0</v>
      </c>
      <c r="C192" s="7">
        <v>0</v>
      </c>
      <c r="D192" s="7">
        <v>0</v>
      </c>
    </row>
    <row r="193" spans="1:4" x14ac:dyDescent="0.25">
      <c r="A193" s="8" t="s">
        <v>203</v>
      </c>
      <c r="B193" s="9">
        <v>0</v>
      </c>
      <c r="C193" s="9">
        <v>0</v>
      </c>
      <c r="D193" s="9">
        <v>0</v>
      </c>
    </row>
    <row r="194" spans="1:4" x14ac:dyDescent="0.25">
      <c r="A194" s="6" t="s">
        <v>204</v>
      </c>
      <c r="B194" s="7">
        <v>0</v>
      </c>
      <c r="C194" s="7">
        <v>0</v>
      </c>
      <c r="D194" s="7">
        <v>0</v>
      </c>
    </row>
    <row r="195" spans="1:4" x14ac:dyDescent="0.25">
      <c r="A195" s="8" t="s">
        <v>205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206</v>
      </c>
      <c r="B196" s="7">
        <v>0</v>
      </c>
      <c r="C196" s="7">
        <v>0</v>
      </c>
      <c r="D196" s="7">
        <v>0</v>
      </c>
    </row>
    <row r="197" spans="1:4" x14ac:dyDescent="0.25">
      <c r="A197" s="8" t="s">
        <v>207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208</v>
      </c>
      <c r="B198" s="7">
        <v>0</v>
      </c>
      <c r="C198" s="7">
        <v>0</v>
      </c>
      <c r="D198" s="7">
        <v>0</v>
      </c>
    </row>
    <row r="199" spans="1:4" x14ac:dyDescent="0.25">
      <c r="A199" s="8" t="s">
        <v>209</v>
      </c>
      <c r="B199" s="9">
        <v>0</v>
      </c>
      <c r="C199" s="9">
        <v>0</v>
      </c>
      <c r="D199" s="9">
        <v>0</v>
      </c>
    </row>
    <row r="200" spans="1:4" x14ac:dyDescent="0.25">
      <c r="A200" s="6" t="s">
        <v>210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211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212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213</v>
      </c>
      <c r="B203" s="9">
        <v>0</v>
      </c>
      <c r="C203" s="9">
        <v>0</v>
      </c>
      <c r="D203" s="9">
        <v>0</v>
      </c>
    </row>
    <row r="204" spans="1:4" x14ac:dyDescent="0.25">
      <c r="A204" s="4" t="s">
        <v>214</v>
      </c>
      <c r="B204" s="5">
        <v>0</v>
      </c>
      <c r="C204" s="5">
        <v>0</v>
      </c>
      <c r="D204" s="5">
        <v>0</v>
      </c>
    </row>
    <row r="205" spans="1:4" x14ac:dyDescent="0.25">
      <c r="A205" s="8" t="s">
        <v>215</v>
      </c>
      <c r="B205" s="9">
        <v>0</v>
      </c>
      <c r="C205" s="9">
        <v>0</v>
      </c>
      <c r="D205" s="9">
        <v>0</v>
      </c>
    </row>
    <row r="206" spans="1:4" x14ac:dyDescent="0.25">
      <c r="A206" s="6" t="s">
        <v>216</v>
      </c>
      <c r="B206" s="7">
        <v>0</v>
      </c>
      <c r="C206" s="7">
        <v>0</v>
      </c>
      <c r="D206" s="7">
        <v>0</v>
      </c>
    </row>
    <row r="207" spans="1:4" x14ac:dyDescent="0.25">
      <c r="A207" s="8" t="s">
        <v>217</v>
      </c>
      <c r="B207" s="9">
        <v>0</v>
      </c>
      <c r="C207" s="9">
        <v>0</v>
      </c>
      <c r="D207" s="9">
        <v>0</v>
      </c>
    </row>
    <row r="208" spans="1:4" x14ac:dyDescent="0.25">
      <c r="A208" s="6" t="s">
        <v>218</v>
      </c>
      <c r="B208" s="7">
        <v>0</v>
      </c>
      <c r="C208" s="7">
        <v>0</v>
      </c>
      <c r="D208" s="7">
        <v>0</v>
      </c>
    </row>
    <row r="209" spans="1:4" x14ac:dyDescent="0.25">
      <c r="A209" s="8" t="s">
        <v>206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219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220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221</v>
      </c>
      <c r="B212" s="7">
        <v>0</v>
      </c>
      <c r="C212" s="7" t="s">
        <v>222</v>
      </c>
      <c r="D212" s="7" t="s">
        <v>223</v>
      </c>
    </row>
    <row r="213" spans="1:4" x14ac:dyDescent="0.25">
      <c r="A213" s="8" t="s">
        <v>224</v>
      </c>
      <c r="B213" s="9">
        <v>0</v>
      </c>
      <c r="C213" s="9" t="s">
        <v>225</v>
      </c>
      <c r="D213" s="9" t="s">
        <v>226</v>
      </c>
    </row>
    <row r="214" spans="1:4" x14ac:dyDescent="0.25">
      <c r="A214" s="6" t="s">
        <v>227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195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228</v>
      </c>
      <c r="B216" s="7">
        <v>0</v>
      </c>
      <c r="C216" s="7">
        <v>0</v>
      </c>
      <c r="D216" s="7">
        <v>0</v>
      </c>
    </row>
    <row r="217" spans="1:4" x14ac:dyDescent="0.25">
      <c r="A217" s="4" t="s">
        <v>229</v>
      </c>
      <c r="B217" s="5">
        <v>0</v>
      </c>
      <c r="C217" s="5" t="s">
        <v>230</v>
      </c>
      <c r="D217" s="5" t="s">
        <v>231</v>
      </c>
    </row>
    <row r="218" spans="1:4" x14ac:dyDescent="0.25">
      <c r="A218" s="4" t="s">
        <v>232</v>
      </c>
      <c r="B218" s="5">
        <v>0</v>
      </c>
      <c r="C218" s="5">
        <v>0</v>
      </c>
      <c r="D218" s="5">
        <v>0</v>
      </c>
    </row>
    <row r="219" spans="1:4" x14ac:dyDescent="0.25">
      <c r="A219" s="4" t="s">
        <v>233</v>
      </c>
      <c r="B219" s="5">
        <v>0</v>
      </c>
      <c r="C219" s="5">
        <v>0</v>
      </c>
      <c r="D219" s="5">
        <v>0</v>
      </c>
    </row>
    <row r="220" spans="1:4" x14ac:dyDescent="0.25">
      <c r="A220" s="6" t="s">
        <v>234</v>
      </c>
      <c r="B220" s="7">
        <v>0</v>
      </c>
      <c r="C220" s="7">
        <v>0</v>
      </c>
      <c r="D220" s="7">
        <v>0</v>
      </c>
    </row>
    <row r="221" spans="1:4" x14ac:dyDescent="0.25">
      <c r="A221" s="8" t="s">
        <v>235</v>
      </c>
      <c r="B221" s="9">
        <v>0</v>
      </c>
      <c r="C221" s="9">
        <v>0</v>
      </c>
      <c r="D221" s="9">
        <v>0</v>
      </c>
    </row>
    <row r="222" spans="1:4" x14ac:dyDescent="0.25">
      <c r="A222" s="6" t="s">
        <v>236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237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238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211</v>
      </c>
      <c r="B225" s="9">
        <v>0</v>
      </c>
      <c r="C225" s="9">
        <v>0</v>
      </c>
      <c r="D225" s="9">
        <v>0</v>
      </c>
    </row>
    <row r="226" spans="1:4" x14ac:dyDescent="0.25">
      <c r="A226" s="4" t="s">
        <v>239</v>
      </c>
      <c r="B226" s="5">
        <v>0</v>
      </c>
      <c r="C226" s="5">
        <v>0</v>
      </c>
      <c r="D226" s="5">
        <v>0</v>
      </c>
    </row>
    <row r="227" spans="1:4" x14ac:dyDescent="0.25">
      <c r="A227" s="8" t="s">
        <v>240</v>
      </c>
      <c r="B227" s="9">
        <v>0</v>
      </c>
      <c r="C227" s="9" t="s">
        <v>241</v>
      </c>
      <c r="D227" s="9" t="s">
        <v>242</v>
      </c>
    </row>
    <row r="228" spans="1:4" x14ac:dyDescent="0.25">
      <c r="A228" s="6" t="s">
        <v>243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235</v>
      </c>
      <c r="B229" s="9">
        <v>0</v>
      </c>
      <c r="C229" s="9">
        <v>0</v>
      </c>
      <c r="D229" s="9">
        <v>0</v>
      </c>
    </row>
    <row r="230" spans="1:4" x14ac:dyDescent="0.25">
      <c r="A230" s="6" t="s">
        <v>236</v>
      </c>
      <c r="B230" s="7">
        <v>0</v>
      </c>
      <c r="C230" s="7">
        <v>0</v>
      </c>
      <c r="D230" s="7">
        <v>0</v>
      </c>
    </row>
    <row r="231" spans="1:4" x14ac:dyDescent="0.25">
      <c r="A231" s="8" t="s">
        <v>244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245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246</v>
      </c>
      <c r="B233" s="9">
        <v>0</v>
      </c>
      <c r="C233" s="9">
        <v>0</v>
      </c>
      <c r="D233" s="9">
        <v>0</v>
      </c>
    </row>
    <row r="234" spans="1:4" x14ac:dyDescent="0.25">
      <c r="A234" s="6" t="s">
        <v>247</v>
      </c>
      <c r="B234" s="7">
        <v>0</v>
      </c>
      <c r="C234" s="7">
        <v>0</v>
      </c>
      <c r="D234" s="7">
        <v>0</v>
      </c>
    </row>
    <row r="235" spans="1:4" x14ac:dyDescent="0.25">
      <c r="A235" s="8" t="s">
        <v>195</v>
      </c>
      <c r="B235" s="9">
        <v>0</v>
      </c>
      <c r="C235" s="9">
        <v>0</v>
      </c>
      <c r="D235" s="9">
        <v>0</v>
      </c>
    </row>
    <row r="236" spans="1:4" x14ac:dyDescent="0.25">
      <c r="A236" s="6" t="s">
        <v>248</v>
      </c>
      <c r="B236" s="7">
        <v>0</v>
      </c>
      <c r="C236" s="7">
        <v>0</v>
      </c>
      <c r="D236" s="7">
        <v>0</v>
      </c>
    </row>
    <row r="237" spans="1:4" x14ac:dyDescent="0.25">
      <c r="A237" s="4" t="s">
        <v>249</v>
      </c>
      <c r="B237" s="5">
        <v>0</v>
      </c>
      <c r="C237" s="5" t="s">
        <v>241</v>
      </c>
      <c r="D237" s="5" t="s">
        <v>242</v>
      </c>
    </row>
    <row r="238" spans="1:4" x14ac:dyDescent="0.25">
      <c r="A238" s="6" t="s">
        <v>250</v>
      </c>
      <c r="B238" s="7">
        <v>0</v>
      </c>
      <c r="C238" s="7" t="s">
        <v>251</v>
      </c>
      <c r="D238" s="7" t="s">
        <v>252</v>
      </c>
    </row>
    <row r="239" spans="1:4" x14ac:dyDescent="0.25">
      <c r="A239" s="8" t="s">
        <v>253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254</v>
      </c>
      <c r="B240" s="7">
        <v>0</v>
      </c>
      <c r="C240" s="7" t="s">
        <v>251</v>
      </c>
      <c r="D240" s="7" t="s">
        <v>252</v>
      </c>
    </row>
    <row r="241" spans="1:6" x14ac:dyDescent="0.25">
      <c r="A241" s="8" t="s">
        <v>255</v>
      </c>
      <c r="B241" s="9">
        <v>3</v>
      </c>
      <c r="C241" s="9">
        <v>19673</v>
      </c>
      <c r="D241" s="9">
        <v>6179</v>
      </c>
    </row>
    <row r="242" spans="1:6" x14ac:dyDescent="0.25">
      <c r="A242" s="4" t="s">
        <v>256</v>
      </c>
      <c r="B242" s="5">
        <v>3</v>
      </c>
      <c r="C242" s="5">
        <v>5267</v>
      </c>
      <c r="D242" s="5">
        <v>907</v>
      </c>
    </row>
    <row r="245" spans="1:6" ht="15.75" x14ac:dyDescent="0.25">
      <c r="A245" s="2" t="s">
        <v>257</v>
      </c>
    </row>
    <row r="246" spans="1:6" x14ac:dyDescent="0.25">
      <c r="A246" s="3" t="s">
        <v>7</v>
      </c>
      <c r="B246" s="3" t="s">
        <v>8</v>
      </c>
      <c r="C246" s="3" t="s">
        <v>74</v>
      </c>
      <c r="D246" s="3" t="s">
        <v>75</v>
      </c>
      <c r="E246" s="3" t="s">
        <v>76</v>
      </c>
      <c r="F246" s="3" t="s">
        <v>77</v>
      </c>
    </row>
    <row r="247" spans="1:6" x14ac:dyDescent="0.25">
      <c r="A247" s="8" t="s">
        <v>258</v>
      </c>
      <c r="B247" s="9">
        <v>0</v>
      </c>
      <c r="C247" s="9" t="s">
        <v>107</v>
      </c>
      <c r="D247" s="9" t="s">
        <v>112</v>
      </c>
      <c r="E247" s="9" t="s">
        <v>107</v>
      </c>
      <c r="F247" s="9" t="s">
        <v>112</v>
      </c>
    </row>
    <row r="248" spans="1:6" x14ac:dyDescent="0.25">
      <c r="A248" s="4" t="s">
        <v>259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</row>
    <row r="249" spans="1:6" x14ac:dyDescent="0.25">
      <c r="A249" s="8" t="s">
        <v>260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</row>
    <row r="250" spans="1:6" x14ac:dyDescent="0.25">
      <c r="A250" s="6" t="s">
        <v>134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</row>
    <row r="251" spans="1:6" x14ac:dyDescent="0.25">
      <c r="A251" s="8" t="s">
        <v>261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</row>
    <row r="252" spans="1:6" x14ac:dyDescent="0.25">
      <c r="A252" s="6" t="s">
        <v>262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</row>
    <row r="253" spans="1:6" x14ac:dyDescent="0.25">
      <c r="A253" s="8" t="s">
        <v>263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</row>
    <row r="254" spans="1:6" x14ac:dyDescent="0.25">
      <c r="A254" s="6" t="s">
        <v>138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</row>
    <row r="255" spans="1:6" x14ac:dyDescent="0.25">
      <c r="A255" s="8" t="s">
        <v>264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</row>
    <row r="256" spans="1:6" x14ac:dyDescent="0.25">
      <c r="A256" s="6" t="s">
        <v>140</v>
      </c>
      <c r="B256" s="7">
        <v>0</v>
      </c>
      <c r="C256" s="7">
        <v>807</v>
      </c>
      <c r="D256" s="7" t="s">
        <v>265</v>
      </c>
      <c r="E256" s="7">
        <v>807</v>
      </c>
      <c r="F256" s="7" t="s">
        <v>265</v>
      </c>
    </row>
    <row r="257" spans="1:6" x14ac:dyDescent="0.25">
      <c r="A257" s="4" t="s">
        <v>266</v>
      </c>
      <c r="B257" s="5">
        <v>0</v>
      </c>
      <c r="C257" s="5">
        <v>807</v>
      </c>
      <c r="D257" s="5" t="s">
        <v>265</v>
      </c>
      <c r="E257" s="5">
        <v>807</v>
      </c>
      <c r="F257" s="5" t="s">
        <v>265</v>
      </c>
    </row>
    <row r="258" spans="1:6" x14ac:dyDescent="0.25">
      <c r="A258" s="4" t="s">
        <v>267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</row>
    <row r="259" spans="1:6" x14ac:dyDescent="0.25">
      <c r="A259" s="8" t="s">
        <v>260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</row>
    <row r="260" spans="1:6" x14ac:dyDescent="0.25">
      <c r="A260" s="6" t="s">
        <v>134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</row>
    <row r="261" spans="1:6" x14ac:dyDescent="0.25">
      <c r="A261" s="8" t="s">
        <v>261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</row>
    <row r="262" spans="1:6" x14ac:dyDescent="0.25">
      <c r="A262" s="6" t="s">
        <v>262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</row>
    <row r="263" spans="1:6" x14ac:dyDescent="0.25">
      <c r="A263" s="8" t="s">
        <v>263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</row>
    <row r="264" spans="1:6" x14ac:dyDescent="0.25">
      <c r="A264" s="6" t="s">
        <v>138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</row>
    <row r="265" spans="1:6" x14ac:dyDescent="0.25">
      <c r="A265" s="8" t="s">
        <v>264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</row>
    <row r="266" spans="1:6" x14ac:dyDescent="0.25">
      <c r="A266" s="6" t="s">
        <v>140</v>
      </c>
      <c r="B266" s="7">
        <v>0</v>
      </c>
      <c r="C266" s="7" t="s">
        <v>268</v>
      </c>
      <c r="D266" s="7">
        <v>169</v>
      </c>
      <c r="E266" s="7" t="s">
        <v>268</v>
      </c>
      <c r="F266" s="7">
        <v>169</v>
      </c>
    </row>
    <row r="267" spans="1:6" x14ac:dyDescent="0.25">
      <c r="A267" s="4" t="s">
        <v>269</v>
      </c>
      <c r="B267" s="5">
        <v>0</v>
      </c>
      <c r="C267" s="5" t="s">
        <v>268</v>
      </c>
      <c r="D267" s="5">
        <v>169</v>
      </c>
      <c r="E267" s="5" t="s">
        <v>268</v>
      </c>
      <c r="F267" s="5">
        <v>169</v>
      </c>
    </row>
    <row r="268" spans="1:6" x14ac:dyDescent="0.25">
      <c r="A268" s="4" t="s">
        <v>270</v>
      </c>
      <c r="B268" s="5">
        <v>0</v>
      </c>
      <c r="C268" s="5">
        <v>597</v>
      </c>
      <c r="D268" s="5" t="s">
        <v>150</v>
      </c>
      <c r="E268" s="5">
        <v>597</v>
      </c>
      <c r="F268" s="5" t="s">
        <v>150</v>
      </c>
    </row>
    <row r="269" spans="1:6" x14ac:dyDescent="0.25">
      <c r="A269" s="4" t="s">
        <v>271</v>
      </c>
      <c r="B269" s="5">
        <v>0</v>
      </c>
      <c r="C269" s="5" t="s">
        <v>165</v>
      </c>
      <c r="D269" s="5" t="s">
        <v>152</v>
      </c>
      <c r="E269" s="5" t="s">
        <v>165</v>
      </c>
      <c r="F269" s="5" t="s">
        <v>152</v>
      </c>
    </row>
    <row r="272" spans="1:6" ht="15.75" x14ac:dyDescent="0.25">
      <c r="A272" s="2" t="s">
        <v>272</v>
      </c>
    </row>
    <row r="273" spans="1:2" x14ac:dyDescent="0.25">
      <c r="A273" s="3" t="s">
        <v>273</v>
      </c>
      <c r="B273" s="3" t="s">
        <v>274</v>
      </c>
    </row>
    <row r="274" spans="1:2" x14ac:dyDescent="0.25">
      <c r="A274" s="4" t="s">
        <v>275</v>
      </c>
      <c r="B274" s="5"/>
    </row>
    <row r="275" spans="1:2" x14ac:dyDescent="0.25">
      <c r="A275" s="8" t="s">
        <v>276</v>
      </c>
      <c r="B275" s="10">
        <v>42492.873969907399</v>
      </c>
    </row>
    <row r="276" spans="1:2" x14ac:dyDescent="0.25">
      <c r="A276" s="6" t="s">
        <v>277</v>
      </c>
      <c r="B276" s="11">
        <v>42492.871655092596</v>
      </c>
    </row>
    <row r="277" spans="1:2" x14ac:dyDescent="0.25">
      <c r="A277" s="4" t="s">
        <v>278</v>
      </c>
      <c r="B277" s="5"/>
    </row>
    <row r="278" spans="1:2" x14ac:dyDescent="0.25">
      <c r="A278" s="6" t="s">
        <v>277</v>
      </c>
      <c r="B278" s="11">
        <v>42492.871863425898</v>
      </c>
    </row>
    <row r="279" spans="1:2" x14ac:dyDescent="0.25">
      <c r="A279" s="8" t="s">
        <v>276</v>
      </c>
      <c r="B279" s="10">
        <v>42492.8772916667</v>
      </c>
    </row>
    <row r="280" spans="1:2" x14ac:dyDescent="0.25">
      <c r="A280" s="4" t="s">
        <v>279</v>
      </c>
      <c r="B280" s="5"/>
    </row>
    <row r="281" spans="1:2" x14ac:dyDescent="0.25">
      <c r="A281" s="8" t="s">
        <v>276</v>
      </c>
      <c r="B281" s="10">
        <v>42492.877604166701</v>
      </c>
    </row>
    <row r="282" spans="1:2" x14ac:dyDescent="0.25">
      <c r="A282" s="6" t="s">
        <v>277</v>
      </c>
      <c r="B282" s="11">
        <v>42492.872106481504</v>
      </c>
    </row>
    <row r="283" spans="1:2" x14ac:dyDescent="0.25">
      <c r="A283" s="4" t="s">
        <v>280</v>
      </c>
      <c r="B283" s="5"/>
    </row>
    <row r="284" spans="1:2" x14ac:dyDescent="0.25">
      <c r="A284" s="6" t="s">
        <v>277</v>
      </c>
      <c r="B284" s="11">
        <v>42492.872337963003</v>
      </c>
    </row>
    <row r="285" spans="1:2" x14ac:dyDescent="0.25">
      <c r="A285" s="8" t="s">
        <v>276</v>
      </c>
      <c r="B285" s="10">
        <v>42492.877847222197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2712-A27B-474A-8E4C-B12A490771CF}">
  <dimension ref="A1:Q285"/>
  <sheetViews>
    <sheetView topLeftCell="A168" workbookViewId="0">
      <selection activeCell="A182" sqref="A182"/>
    </sheetView>
  </sheetViews>
  <sheetFormatPr defaultRowHeight="15" x14ac:dyDescent="0.25"/>
  <cols>
    <col min="1" max="1" width="50.7109375" customWidth="1"/>
    <col min="2" max="2" width="16.140625" customWidth="1"/>
    <col min="3" max="4" width="43.7109375" customWidth="1"/>
    <col min="5" max="6" width="46.42578125" customWidth="1"/>
    <col min="7" max="7" width="22.5703125" customWidth="1"/>
    <col min="8" max="8" width="29.85546875" customWidth="1"/>
    <col min="9" max="9" width="52.140625" customWidth="1"/>
    <col min="10" max="10" width="63.42578125" customWidth="1"/>
    <col min="11" max="11" width="63.28515625" customWidth="1"/>
    <col min="12" max="12" width="60.140625" customWidth="1"/>
    <col min="13" max="13" width="23.85546875" customWidth="1"/>
    <col min="14" max="14" width="55.85546875" customWidth="1"/>
    <col min="15" max="15" width="95.5703125" customWidth="1"/>
    <col min="16" max="16" width="27.7109375" customWidth="1"/>
    <col min="17" max="17" width="16.42578125" customWidth="1"/>
  </cols>
  <sheetData>
    <row r="1" spans="1:4" ht="18.75" x14ac:dyDescent="0.3">
      <c r="A1" s="1" t="s">
        <v>0</v>
      </c>
    </row>
    <row r="2" spans="1:4" x14ac:dyDescent="0.25">
      <c r="A2" t="s">
        <v>281</v>
      </c>
    </row>
    <row r="3" spans="1:4" x14ac:dyDescent="0.25">
      <c r="A3" t="s">
        <v>2</v>
      </c>
    </row>
    <row r="4" spans="1:4" x14ac:dyDescent="0.25">
      <c r="A4" t="s">
        <v>282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283</v>
      </c>
      <c r="D9" s="3" t="s">
        <v>10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3253</v>
      </c>
      <c r="D12" s="7">
        <v>19673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15</v>
      </c>
      <c r="B14" s="7">
        <v>0</v>
      </c>
      <c r="C14" s="7">
        <v>16272</v>
      </c>
      <c r="D14" s="7">
        <v>11323</v>
      </c>
    </row>
    <row r="15" spans="1:4" x14ac:dyDescent="0.25">
      <c r="A15" s="8" t="s">
        <v>16</v>
      </c>
      <c r="B15" s="9">
        <v>4</v>
      </c>
      <c r="C15" s="9">
        <v>12775</v>
      </c>
      <c r="D15" s="9">
        <v>9158</v>
      </c>
    </row>
    <row r="16" spans="1:4" x14ac:dyDescent="0.25">
      <c r="A16" s="6" t="s">
        <v>17</v>
      </c>
      <c r="B16" s="7">
        <v>0</v>
      </c>
      <c r="C16" s="7">
        <v>2143</v>
      </c>
      <c r="D16" s="7">
        <v>871</v>
      </c>
    </row>
    <row r="17" spans="1:4" x14ac:dyDescent="0.25">
      <c r="A17" s="8" t="s">
        <v>18</v>
      </c>
      <c r="B17" s="9">
        <v>0</v>
      </c>
      <c r="C17" s="9">
        <v>1354</v>
      </c>
      <c r="D17" s="9">
        <v>1294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1913</v>
      </c>
      <c r="D19" s="9">
        <v>1851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23</v>
      </c>
      <c r="B22" s="7">
        <v>6</v>
      </c>
      <c r="C22" s="7">
        <v>8938</v>
      </c>
      <c r="D22" s="7">
        <v>7861</v>
      </c>
    </row>
    <row r="23" spans="1:4" x14ac:dyDescent="0.25">
      <c r="A23" s="8" t="s">
        <v>24</v>
      </c>
      <c r="B23" s="9">
        <v>0</v>
      </c>
      <c r="C23" s="9">
        <v>30376</v>
      </c>
      <c r="D23" s="9">
        <v>40708</v>
      </c>
    </row>
    <row r="24" spans="1:4" x14ac:dyDescent="0.25">
      <c r="A24" s="6" t="s">
        <v>25</v>
      </c>
      <c r="B24" s="7">
        <v>0</v>
      </c>
      <c r="C24" s="7">
        <v>0</v>
      </c>
      <c r="D24" s="7">
        <v>0</v>
      </c>
    </row>
    <row r="25" spans="1:4" x14ac:dyDescent="0.25">
      <c r="A25" s="8" t="s">
        <v>26</v>
      </c>
      <c r="B25" s="9">
        <v>0</v>
      </c>
      <c r="C25" s="9">
        <v>0</v>
      </c>
      <c r="D25" s="9">
        <v>0</v>
      </c>
    </row>
    <row r="26" spans="1:4" x14ac:dyDescent="0.25">
      <c r="A26" s="6" t="s">
        <v>27</v>
      </c>
      <c r="B26" s="7">
        <v>0</v>
      </c>
      <c r="C26" s="7">
        <v>0</v>
      </c>
      <c r="D26" s="7">
        <v>0</v>
      </c>
    </row>
    <row r="27" spans="1:4" x14ac:dyDescent="0.25">
      <c r="A27" s="4" t="s">
        <v>28</v>
      </c>
      <c r="B27" s="5">
        <v>0</v>
      </c>
      <c r="C27" s="5">
        <v>30376</v>
      </c>
      <c r="D27" s="5">
        <v>40708</v>
      </c>
    </row>
    <row r="28" spans="1:4" x14ac:dyDescent="0.25">
      <c r="A28" s="4" t="s">
        <v>29</v>
      </c>
      <c r="B28" s="5">
        <v>0</v>
      </c>
      <c r="C28" s="5">
        <v>0</v>
      </c>
      <c r="D28" s="5">
        <v>0</v>
      </c>
    </row>
    <row r="29" spans="1:4" x14ac:dyDescent="0.25">
      <c r="A29" s="8" t="s">
        <v>14</v>
      </c>
      <c r="B29" s="9">
        <v>0</v>
      </c>
      <c r="C29" s="9">
        <v>0</v>
      </c>
      <c r="D29" s="9">
        <v>0</v>
      </c>
    </row>
    <row r="30" spans="1:4" x14ac:dyDescent="0.25">
      <c r="A30" s="6" t="s">
        <v>30</v>
      </c>
      <c r="B30" s="7">
        <v>7</v>
      </c>
      <c r="C30" s="7">
        <v>12806</v>
      </c>
      <c r="D30" s="7">
        <v>12806</v>
      </c>
    </row>
    <row r="31" spans="1:4" x14ac:dyDescent="0.25">
      <c r="A31" s="8" t="s">
        <v>15</v>
      </c>
      <c r="B31" s="9">
        <v>0</v>
      </c>
      <c r="C31" s="9">
        <v>3655</v>
      </c>
      <c r="D31" s="9">
        <v>5120</v>
      </c>
    </row>
    <row r="32" spans="1:4" x14ac:dyDescent="0.25">
      <c r="A32" s="6" t="s">
        <v>31</v>
      </c>
      <c r="B32" s="7">
        <v>0</v>
      </c>
      <c r="C32" s="7">
        <v>0</v>
      </c>
      <c r="D32" s="7">
        <v>0</v>
      </c>
    </row>
    <row r="33" spans="1:4" x14ac:dyDescent="0.25">
      <c r="A33" s="8" t="s">
        <v>32</v>
      </c>
      <c r="B33" s="9">
        <v>0</v>
      </c>
      <c r="C33" s="9">
        <v>3341</v>
      </c>
      <c r="D33" s="9">
        <v>3988</v>
      </c>
    </row>
    <row r="34" spans="1:4" x14ac:dyDescent="0.25">
      <c r="A34" s="6" t="s">
        <v>18</v>
      </c>
      <c r="B34" s="7">
        <v>0</v>
      </c>
      <c r="C34" s="7">
        <v>314</v>
      </c>
      <c r="D34" s="7">
        <v>1132</v>
      </c>
    </row>
    <row r="35" spans="1:4" x14ac:dyDescent="0.25">
      <c r="A35" s="8" t="s">
        <v>19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34</v>
      </c>
      <c r="B38" s="7">
        <v>8</v>
      </c>
      <c r="C38" s="7">
        <v>167586</v>
      </c>
      <c r="D38" s="7">
        <v>155936</v>
      </c>
    </row>
    <row r="39" spans="1:4" x14ac:dyDescent="0.25">
      <c r="A39" s="8" t="s">
        <v>35</v>
      </c>
      <c r="B39" s="9">
        <v>9</v>
      </c>
      <c r="C39" s="9">
        <v>8203</v>
      </c>
      <c r="D39" s="9">
        <v>2232</v>
      </c>
    </row>
    <row r="40" spans="1:4" x14ac:dyDescent="0.25">
      <c r="A40" s="6" t="s">
        <v>36</v>
      </c>
      <c r="B40" s="7">
        <v>0</v>
      </c>
      <c r="C40" s="7">
        <v>0</v>
      </c>
      <c r="D40" s="7">
        <v>0</v>
      </c>
    </row>
    <row r="41" spans="1:4" x14ac:dyDescent="0.25">
      <c r="A41" s="8" t="s">
        <v>37</v>
      </c>
      <c r="B41" s="9">
        <v>0</v>
      </c>
      <c r="C41" s="9">
        <v>0</v>
      </c>
      <c r="D41" s="9">
        <v>0</v>
      </c>
    </row>
    <row r="42" spans="1:4" x14ac:dyDescent="0.25">
      <c r="A42" s="6" t="s">
        <v>23</v>
      </c>
      <c r="B42" s="7">
        <v>0</v>
      </c>
      <c r="C42" s="7">
        <v>0</v>
      </c>
      <c r="D42" s="7">
        <v>0</v>
      </c>
    </row>
    <row r="43" spans="1:4" x14ac:dyDescent="0.25">
      <c r="A43" s="4" t="s">
        <v>38</v>
      </c>
      <c r="B43" s="5">
        <v>0</v>
      </c>
      <c r="C43" s="5">
        <v>192250</v>
      </c>
      <c r="D43" s="5">
        <v>176094</v>
      </c>
    </row>
    <row r="44" spans="1:4" x14ac:dyDescent="0.25">
      <c r="A44" s="4" t="s">
        <v>39</v>
      </c>
      <c r="B44" s="5">
        <v>0</v>
      </c>
      <c r="C44" s="5">
        <v>222626</v>
      </c>
      <c r="D44" s="5">
        <v>216802</v>
      </c>
    </row>
    <row r="45" spans="1:4" x14ac:dyDescent="0.25">
      <c r="A45" s="4" t="s">
        <v>40</v>
      </c>
      <c r="B45" s="5">
        <v>0</v>
      </c>
      <c r="C45" s="5">
        <v>0</v>
      </c>
      <c r="D45" s="5">
        <v>0</v>
      </c>
    </row>
    <row r="46" spans="1:4" x14ac:dyDescent="0.25">
      <c r="A46" s="4" t="s">
        <v>41</v>
      </c>
      <c r="B46" s="5">
        <v>0</v>
      </c>
      <c r="C46" s="5">
        <v>0</v>
      </c>
      <c r="D46" s="5">
        <v>0</v>
      </c>
    </row>
    <row r="47" spans="1:4" x14ac:dyDescent="0.25">
      <c r="A47" s="8" t="s">
        <v>42</v>
      </c>
      <c r="B47" s="9">
        <v>10</v>
      </c>
      <c r="C47" s="9">
        <v>6998</v>
      </c>
      <c r="D47" s="9">
        <v>5930</v>
      </c>
    </row>
    <row r="48" spans="1:4" x14ac:dyDescent="0.25">
      <c r="A48" s="6" t="s">
        <v>43</v>
      </c>
      <c r="B48" s="7">
        <v>0</v>
      </c>
      <c r="C48" s="7">
        <v>30334</v>
      </c>
      <c r="D48" s="7">
        <v>25046</v>
      </c>
    </row>
    <row r="49" spans="1:4" x14ac:dyDescent="0.25">
      <c r="A49" s="8" t="s">
        <v>44</v>
      </c>
      <c r="B49" s="9">
        <v>11</v>
      </c>
      <c r="C49" s="9">
        <v>18192</v>
      </c>
      <c r="D49" s="9">
        <v>17221</v>
      </c>
    </row>
    <row r="50" spans="1:4" x14ac:dyDescent="0.25">
      <c r="A50" s="6" t="s">
        <v>45</v>
      </c>
      <c r="B50" s="7">
        <v>12</v>
      </c>
      <c r="C50" s="7">
        <v>8538</v>
      </c>
      <c r="D50" s="7">
        <v>5299</v>
      </c>
    </row>
    <row r="51" spans="1:4" x14ac:dyDescent="0.25">
      <c r="A51" s="8" t="s">
        <v>46</v>
      </c>
      <c r="B51" s="9">
        <v>0</v>
      </c>
      <c r="C51" s="9">
        <v>481</v>
      </c>
      <c r="D51" s="9">
        <v>478</v>
      </c>
    </row>
    <row r="52" spans="1:4" x14ac:dyDescent="0.25">
      <c r="A52" s="6" t="s">
        <v>47</v>
      </c>
      <c r="B52" s="7">
        <v>0</v>
      </c>
      <c r="C52" s="7">
        <v>3123</v>
      </c>
      <c r="D52" s="7">
        <v>2048</v>
      </c>
    </row>
    <row r="53" spans="1:4" x14ac:dyDescent="0.25">
      <c r="A53" s="8" t="s">
        <v>48</v>
      </c>
      <c r="B53" s="9">
        <v>0</v>
      </c>
      <c r="C53" s="9">
        <v>0</v>
      </c>
      <c r="D53" s="9">
        <v>0</v>
      </c>
    </row>
    <row r="54" spans="1:4" x14ac:dyDescent="0.25">
      <c r="A54" s="6" t="s">
        <v>49</v>
      </c>
      <c r="B54" s="7">
        <v>0</v>
      </c>
      <c r="C54" s="7">
        <v>0</v>
      </c>
      <c r="D54" s="7">
        <v>0</v>
      </c>
    </row>
    <row r="55" spans="1:4" x14ac:dyDescent="0.25">
      <c r="A55" s="8" t="s">
        <v>50</v>
      </c>
      <c r="B55" s="9">
        <v>0</v>
      </c>
      <c r="C55" s="9">
        <v>0</v>
      </c>
      <c r="D55" s="9">
        <v>0</v>
      </c>
    </row>
    <row r="56" spans="1:4" x14ac:dyDescent="0.25">
      <c r="A56" s="6" t="s">
        <v>51</v>
      </c>
      <c r="B56" s="7">
        <v>0</v>
      </c>
      <c r="C56" s="7">
        <v>0</v>
      </c>
      <c r="D56" s="7">
        <v>0</v>
      </c>
    </row>
    <row r="57" spans="1:4" x14ac:dyDescent="0.25">
      <c r="A57" s="8" t="s">
        <v>52</v>
      </c>
      <c r="B57" s="9">
        <v>0</v>
      </c>
      <c r="C57" s="9">
        <v>37332</v>
      </c>
      <c r="D57" s="9">
        <v>30976</v>
      </c>
    </row>
    <row r="58" spans="1:4" x14ac:dyDescent="0.25">
      <c r="A58" s="6" t="s">
        <v>53</v>
      </c>
      <c r="B58" s="7">
        <v>0</v>
      </c>
      <c r="C58" s="7">
        <v>0</v>
      </c>
      <c r="D58" s="7">
        <v>0</v>
      </c>
    </row>
    <row r="59" spans="1:4" x14ac:dyDescent="0.25">
      <c r="A59" s="4" t="s">
        <v>54</v>
      </c>
      <c r="B59" s="5">
        <v>0</v>
      </c>
      <c r="C59" s="5">
        <v>37332</v>
      </c>
      <c r="D59" s="5">
        <v>30976</v>
      </c>
    </row>
    <row r="60" spans="1:4" x14ac:dyDescent="0.25">
      <c r="A60" s="4" t="s">
        <v>55</v>
      </c>
      <c r="B60" s="5">
        <v>0</v>
      </c>
      <c r="C60" s="5">
        <v>0</v>
      </c>
      <c r="D60" s="5">
        <v>0</v>
      </c>
    </row>
    <row r="61" spans="1:4" x14ac:dyDescent="0.25">
      <c r="A61" s="8" t="s">
        <v>42</v>
      </c>
      <c r="B61" s="9">
        <v>10</v>
      </c>
      <c r="C61" s="9">
        <v>72345</v>
      </c>
      <c r="D61" s="9">
        <v>78462</v>
      </c>
    </row>
    <row r="62" spans="1:4" x14ac:dyDescent="0.25">
      <c r="A62" s="6" t="s">
        <v>43</v>
      </c>
      <c r="B62" s="7">
        <v>0</v>
      </c>
      <c r="C62" s="7">
        <v>10251</v>
      </c>
      <c r="D62" s="7">
        <v>5901</v>
      </c>
    </row>
    <row r="63" spans="1:4" x14ac:dyDescent="0.25">
      <c r="A63" s="8" t="s">
        <v>44</v>
      </c>
      <c r="B63" s="9">
        <v>0</v>
      </c>
      <c r="C63" s="9">
        <v>0</v>
      </c>
      <c r="D63" s="9">
        <v>0</v>
      </c>
    </row>
    <row r="64" spans="1:4" x14ac:dyDescent="0.25">
      <c r="A64" s="6" t="s">
        <v>45</v>
      </c>
      <c r="B64" s="7">
        <v>13</v>
      </c>
      <c r="C64" s="7">
        <v>10251</v>
      </c>
      <c r="D64" s="7">
        <v>5901</v>
      </c>
    </row>
    <row r="65" spans="1:4" x14ac:dyDescent="0.25">
      <c r="A65" s="8" t="s">
        <v>46</v>
      </c>
      <c r="B65" s="9">
        <v>0</v>
      </c>
      <c r="C65" s="9">
        <v>0</v>
      </c>
      <c r="D65" s="9">
        <v>0</v>
      </c>
    </row>
    <row r="66" spans="1:4" x14ac:dyDescent="0.25">
      <c r="A66" s="6" t="s">
        <v>56</v>
      </c>
      <c r="B66" s="7">
        <v>0</v>
      </c>
      <c r="C66" s="7">
        <v>0</v>
      </c>
      <c r="D66" s="7">
        <v>0</v>
      </c>
    </row>
    <row r="67" spans="1:4" x14ac:dyDescent="0.25">
      <c r="A67" s="8" t="s">
        <v>48</v>
      </c>
      <c r="B67" s="9">
        <v>0</v>
      </c>
      <c r="C67" s="9">
        <v>0</v>
      </c>
      <c r="D67" s="9">
        <v>0</v>
      </c>
    </row>
    <row r="68" spans="1:4" x14ac:dyDescent="0.25">
      <c r="A68" s="6" t="s">
        <v>49</v>
      </c>
      <c r="B68" s="7">
        <v>0</v>
      </c>
      <c r="C68" s="7">
        <v>0</v>
      </c>
      <c r="D68" s="7">
        <v>0</v>
      </c>
    </row>
    <row r="69" spans="1:4" x14ac:dyDescent="0.25">
      <c r="A69" s="8" t="s">
        <v>57</v>
      </c>
      <c r="B69" s="9">
        <v>14</v>
      </c>
      <c r="C69" s="9">
        <v>9800</v>
      </c>
      <c r="D69" s="9">
        <v>9396</v>
      </c>
    </row>
    <row r="70" spans="1:4" x14ac:dyDescent="0.25">
      <c r="A70" s="6" t="s">
        <v>58</v>
      </c>
      <c r="B70" s="7">
        <v>0</v>
      </c>
      <c r="C70" s="7">
        <v>0</v>
      </c>
      <c r="D70" s="7">
        <v>0</v>
      </c>
    </row>
    <row r="71" spans="1:4" x14ac:dyDescent="0.25">
      <c r="A71" s="4" t="s">
        <v>59</v>
      </c>
      <c r="B71" s="5">
        <v>0</v>
      </c>
      <c r="C71" s="5">
        <v>92396</v>
      </c>
      <c r="D71" s="5">
        <v>93759</v>
      </c>
    </row>
    <row r="72" spans="1:4" x14ac:dyDescent="0.25">
      <c r="A72" s="4" t="s">
        <v>60</v>
      </c>
      <c r="B72" s="5">
        <v>0</v>
      </c>
      <c r="C72" s="5">
        <v>129728</v>
      </c>
      <c r="D72" s="5">
        <v>124735</v>
      </c>
    </row>
    <row r="73" spans="1:4" x14ac:dyDescent="0.25">
      <c r="A73" s="4" t="s">
        <v>61</v>
      </c>
      <c r="B73" s="5">
        <v>0</v>
      </c>
      <c r="C73" s="5">
        <v>0</v>
      </c>
      <c r="D73" s="5">
        <v>0</v>
      </c>
    </row>
    <row r="74" spans="1:4" x14ac:dyDescent="0.25">
      <c r="A74" s="6" t="s">
        <v>62</v>
      </c>
      <c r="B74" s="7">
        <v>15</v>
      </c>
      <c r="C74" s="7">
        <v>61450</v>
      </c>
      <c r="D74" s="7">
        <v>61450</v>
      </c>
    </row>
    <row r="75" spans="1:4" x14ac:dyDescent="0.25">
      <c r="A75" s="8" t="s">
        <v>63</v>
      </c>
      <c r="B75" s="9">
        <v>0</v>
      </c>
      <c r="C75" s="9">
        <v>0</v>
      </c>
      <c r="D75" s="9">
        <v>0</v>
      </c>
    </row>
    <row r="76" spans="1:4" x14ac:dyDescent="0.25">
      <c r="A76" s="6" t="s">
        <v>64</v>
      </c>
      <c r="B76" s="7">
        <v>0</v>
      </c>
      <c r="C76" s="7">
        <v>0</v>
      </c>
      <c r="D76" s="7">
        <v>0</v>
      </c>
    </row>
    <row r="77" spans="1:4" x14ac:dyDescent="0.25">
      <c r="A77" s="8" t="s">
        <v>65</v>
      </c>
      <c r="B77" s="9">
        <v>0</v>
      </c>
      <c r="C77" s="9">
        <v>0</v>
      </c>
      <c r="D77" s="9">
        <v>0</v>
      </c>
    </row>
    <row r="78" spans="1:4" x14ac:dyDescent="0.25">
      <c r="A78" s="6" t="s">
        <v>66</v>
      </c>
      <c r="B78" s="7">
        <v>0</v>
      </c>
      <c r="C78" s="7">
        <v>1737</v>
      </c>
      <c r="D78" s="7">
        <v>1665</v>
      </c>
    </row>
    <row r="79" spans="1:4" x14ac:dyDescent="0.25">
      <c r="A79" s="8" t="s">
        <v>67</v>
      </c>
      <c r="B79" s="9">
        <v>0</v>
      </c>
      <c r="C79" s="9">
        <v>32928</v>
      </c>
      <c r="D79" s="9">
        <v>33319</v>
      </c>
    </row>
    <row r="80" spans="1:4" x14ac:dyDescent="0.25">
      <c r="A80" s="6" t="s">
        <v>68</v>
      </c>
      <c r="B80" s="7">
        <v>0</v>
      </c>
      <c r="C80" s="7" t="s">
        <v>284</v>
      </c>
      <c r="D80" s="7" t="s">
        <v>70</v>
      </c>
    </row>
    <row r="81" spans="1:6" x14ac:dyDescent="0.25">
      <c r="A81" s="4" t="s">
        <v>71</v>
      </c>
      <c r="B81" s="5">
        <v>0</v>
      </c>
      <c r="C81" s="5">
        <v>92898</v>
      </c>
      <c r="D81" s="5">
        <v>92067</v>
      </c>
    </row>
    <row r="82" spans="1:6" x14ac:dyDescent="0.25">
      <c r="A82" s="4" t="s">
        <v>72</v>
      </c>
      <c r="B82" s="5">
        <v>0</v>
      </c>
      <c r="C82" s="5">
        <v>222626</v>
      </c>
      <c r="D82" s="5">
        <v>216802</v>
      </c>
    </row>
    <row r="85" spans="1:6" ht="15.75" x14ac:dyDescent="0.25">
      <c r="A85" s="2" t="s">
        <v>73</v>
      </c>
    </row>
    <row r="86" spans="1:6" x14ac:dyDescent="0.25">
      <c r="A86" s="3" t="s">
        <v>7</v>
      </c>
      <c r="B86" s="3" t="s">
        <v>8</v>
      </c>
      <c r="C86" s="3" t="s">
        <v>285</v>
      </c>
      <c r="D86" s="3" t="s">
        <v>286</v>
      </c>
      <c r="E86" s="3" t="s">
        <v>287</v>
      </c>
      <c r="F86" s="3" t="s">
        <v>288</v>
      </c>
    </row>
    <row r="87" spans="1:6" x14ac:dyDescent="0.25">
      <c r="A87" s="4" t="s">
        <v>78</v>
      </c>
      <c r="B87" s="5">
        <v>0</v>
      </c>
      <c r="C87" s="5">
        <v>37458</v>
      </c>
      <c r="D87" s="5">
        <v>33357</v>
      </c>
      <c r="E87" s="5">
        <v>66213</v>
      </c>
      <c r="F87" s="5">
        <v>58450</v>
      </c>
    </row>
    <row r="88" spans="1:6" x14ac:dyDescent="0.25">
      <c r="A88" s="6" t="s">
        <v>79</v>
      </c>
      <c r="B88" s="7">
        <v>17</v>
      </c>
      <c r="C88" s="7" t="s">
        <v>289</v>
      </c>
      <c r="D88" s="7" t="s">
        <v>290</v>
      </c>
      <c r="E88" s="7" t="s">
        <v>291</v>
      </c>
      <c r="F88" s="7" t="s">
        <v>292</v>
      </c>
    </row>
    <row r="89" spans="1:6" x14ac:dyDescent="0.25">
      <c r="A89" s="4" t="s">
        <v>82</v>
      </c>
      <c r="B89" s="5">
        <v>0</v>
      </c>
      <c r="C89" s="5">
        <v>14226</v>
      </c>
      <c r="D89" s="5">
        <v>13919</v>
      </c>
      <c r="E89" s="5">
        <v>23173</v>
      </c>
      <c r="F89" s="5">
        <v>22300</v>
      </c>
    </row>
    <row r="90" spans="1:6" x14ac:dyDescent="0.25">
      <c r="A90" s="6" t="s">
        <v>83</v>
      </c>
      <c r="B90" s="7">
        <v>19</v>
      </c>
      <c r="C90" s="7" t="s">
        <v>293</v>
      </c>
      <c r="D90" s="7" t="s">
        <v>294</v>
      </c>
      <c r="E90" s="7" t="s">
        <v>295</v>
      </c>
      <c r="F90" s="7" t="s">
        <v>296</v>
      </c>
    </row>
    <row r="91" spans="1:6" x14ac:dyDescent="0.25">
      <c r="A91" s="8" t="s">
        <v>86</v>
      </c>
      <c r="B91" s="9">
        <v>18</v>
      </c>
      <c r="C91" s="9" t="s">
        <v>297</v>
      </c>
      <c r="D91" s="9" t="s">
        <v>298</v>
      </c>
      <c r="E91" s="9" t="s">
        <v>299</v>
      </c>
      <c r="F91" s="9" t="s">
        <v>300</v>
      </c>
    </row>
    <row r="92" spans="1:6" x14ac:dyDescent="0.25">
      <c r="A92" s="6" t="s">
        <v>89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</row>
    <row r="93" spans="1:6" x14ac:dyDescent="0.25">
      <c r="A93" s="8" t="s">
        <v>90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</row>
    <row r="94" spans="1:6" x14ac:dyDescent="0.25">
      <c r="A94" s="6" t="s">
        <v>91</v>
      </c>
      <c r="B94" s="7">
        <v>0</v>
      </c>
      <c r="C94" s="7" t="s">
        <v>301</v>
      </c>
      <c r="D94" s="7" t="s">
        <v>302</v>
      </c>
      <c r="E94" s="7" t="s">
        <v>303</v>
      </c>
      <c r="F94" s="7" t="s">
        <v>304</v>
      </c>
    </row>
    <row r="95" spans="1:6" x14ac:dyDescent="0.25">
      <c r="A95" s="8" t="s">
        <v>94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</row>
    <row r="96" spans="1:6" x14ac:dyDescent="0.25">
      <c r="A96" s="4" t="s">
        <v>95</v>
      </c>
      <c r="B96" s="5">
        <v>0</v>
      </c>
      <c r="C96" s="5">
        <v>2894</v>
      </c>
      <c r="D96" s="5">
        <v>3256</v>
      </c>
      <c r="E96" s="5">
        <v>2203</v>
      </c>
      <c r="F96" s="5">
        <v>3280</v>
      </c>
    </row>
    <row r="97" spans="1:6" x14ac:dyDescent="0.25">
      <c r="A97" s="8" t="s">
        <v>97</v>
      </c>
      <c r="B97" s="9">
        <v>0</v>
      </c>
      <c r="C97" s="9">
        <v>112</v>
      </c>
      <c r="D97" s="9">
        <v>70</v>
      </c>
      <c r="E97" s="9">
        <v>229</v>
      </c>
      <c r="F97" s="9">
        <v>196</v>
      </c>
    </row>
    <row r="98" spans="1:6" x14ac:dyDescent="0.25">
      <c r="A98" s="6" t="s">
        <v>98</v>
      </c>
      <c r="B98" s="7">
        <v>0</v>
      </c>
      <c r="C98" s="7" t="s">
        <v>305</v>
      </c>
      <c r="D98" s="7" t="s">
        <v>306</v>
      </c>
      <c r="E98" s="7" t="s">
        <v>69</v>
      </c>
      <c r="F98" s="7" t="s">
        <v>307</v>
      </c>
    </row>
    <row r="99" spans="1:6" x14ac:dyDescent="0.25">
      <c r="A99" s="8" t="s">
        <v>101</v>
      </c>
      <c r="B99" s="9">
        <v>0</v>
      </c>
      <c r="C99" s="9">
        <v>987</v>
      </c>
      <c r="D99" s="9" t="s">
        <v>308</v>
      </c>
      <c r="E99" s="9">
        <v>2689</v>
      </c>
      <c r="F99" s="9" t="s">
        <v>309</v>
      </c>
    </row>
    <row r="100" spans="1:6" x14ac:dyDescent="0.25">
      <c r="A100" s="6" t="s">
        <v>103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</row>
    <row r="101" spans="1:6" x14ac:dyDescent="0.25">
      <c r="A101" s="8" t="s">
        <v>104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105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</row>
    <row r="103" spans="1:6" x14ac:dyDescent="0.25">
      <c r="A103" s="4" t="s">
        <v>106</v>
      </c>
      <c r="B103" s="5">
        <v>0</v>
      </c>
      <c r="C103" s="5">
        <v>2125</v>
      </c>
      <c r="D103" s="5">
        <v>784</v>
      </c>
      <c r="E103" s="5">
        <v>1351</v>
      </c>
      <c r="F103" s="5" t="s">
        <v>310</v>
      </c>
    </row>
    <row r="104" spans="1:6" x14ac:dyDescent="0.25">
      <c r="A104" s="6" t="s">
        <v>109</v>
      </c>
      <c r="B104" s="7">
        <v>0</v>
      </c>
      <c r="C104" s="7">
        <v>0</v>
      </c>
      <c r="D104" s="7" t="s">
        <v>311</v>
      </c>
      <c r="E104" s="7">
        <v>0</v>
      </c>
      <c r="F104" s="7" t="s">
        <v>312</v>
      </c>
    </row>
    <row r="105" spans="1:6" x14ac:dyDescent="0.25">
      <c r="A105" s="8" t="s">
        <v>111</v>
      </c>
      <c r="B105" s="9">
        <v>0</v>
      </c>
      <c r="C105" s="9">
        <v>2125</v>
      </c>
      <c r="D105" s="9">
        <v>185</v>
      </c>
      <c r="E105" s="9">
        <v>1351</v>
      </c>
      <c r="F105" s="9" t="s">
        <v>313</v>
      </c>
    </row>
    <row r="106" spans="1:6" x14ac:dyDescent="0.25">
      <c r="A106" s="6" t="s">
        <v>113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4" t="s">
        <v>114</v>
      </c>
      <c r="B107" s="5">
        <v>0</v>
      </c>
      <c r="C107" s="5">
        <v>2125</v>
      </c>
      <c r="D107" s="5">
        <v>185</v>
      </c>
      <c r="E107" s="5">
        <v>1351</v>
      </c>
      <c r="F107" s="5" t="s">
        <v>313</v>
      </c>
    </row>
    <row r="108" spans="1:6" x14ac:dyDescent="0.25">
      <c r="A108" s="4" t="s">
        <v>115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</row>
    <row r="109" spans="1:6" x14ac:dyDescent="0.25">
      <c r="A109" s="4" t="s">
        <v>116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</row>
    <row r="110" spans="1:6" x14ac:dyDescent="0.25">
      <c r="A110" s="6" t="s">
        <v>117</v>
      </c>
      <c r="B110" s="7">
        <v>0</v>
      </c>
      <c r="C110" s="7">
        <v>3.5000000000000003E-2</v>
      </c>
      <c r="D110" s="7">
        <v>3.0000000000000001E-3</v>
      </c>
      <c r="E110" s="7">
        <v>2.1999999999999999E-2</v>
      </c>
      <c r="F110" s="7" t="s">
        <v>314</v>
      </c>
    </row>
    <row r="111" spans="1:6" x14ac:dyDescent="0.25">
      <c r="A111" s="8" t="s">
        <v>120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</row>
    <row r="112" spans="1:6" x14ac:dyDescent="0.25">
      <c r="A112" s="6" t="s">
        <v>121</v>
      </c>
      <c r="B112" s="7">
        <v>0</v>
      </c>
      <c r="C112" s="7">
        <v>3.5000000000000003E-2</v>
      </c>
      <c r="D112" s="7">
        <v>3.0000000000000001E-3</v>
      </c>
      <c r="E112" s="7">
        <v>2.1999999999999999E-2</v>
      </c>
      <c r="F112" s="7" t="s">
        <v>314</v>
      </c>
    </row>
    <row r="113" spans="1:17" x14ac:dyDescent="0.25">
      <c r="A113" s="8" t="s">
        <v>122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17" x14ac:dyDescent="0.25">
      <c r="A114" s="6" t="s">
        <v>123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</row>
    <row r="115" spans="1:17" x14ac:dyDescent="0.25">
      <c r="A115" s="8" t="s">
        <v>124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</row>
    <row r="116" spans="1:17" x14ac:dyDescent="0.25">
      <c r="A116" s="4" t="s">
        <v>125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17" x14ac:dyDescent="0.25">
      <c r="A117" s="8" t="s">
        <v>126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</row>
    <row r="118" spans="1:17" x14ac:dyDescent="0.25">
      <c r="A118" s="6" t="s">
        <v>127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17" x14ac:dyDescent="0.25">
      <c r="A119" s="8" t="s">
        <v>128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</row>
    <row r="120" spans="1:17" x14ac:dyDescent="0.25">
      <c r="A120" s="6" t="s">
        <v>129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17" x14ac:dyDescent="0.25">
      <c r="A121" s="8" t="s">
        <v>130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17" x14ac:dyDescent="0.25">
      <c r="A122" s="6" t="s">
        <v>131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5" spans="1:17" ht="15.75" x14ac:dyDescent="0.25">
      <c r="A125" s="2" t="s">
        <v>132</v>
      </c>
    </row>
    <row r="126" spans="1:17" x14ac:dyDescent="0.25">
      <c r="A126" s="3" t="s">
        <v>7</v>
      </c>
      <c r="B126" s="3" t="s">
        <v>62</v>
      </c>
      <c r="C126" s="3" t="s">
        <v>63</v>
      </c>
      <c r="D126" s="3" t="s">
        <v>64</v>
      </c>
      <c r="E126" s="3" t="s">
        <v>65</v>
      </c>
      <c r="F126" s="3" t="s">
        <v>66</v>
      </c>
      <c r="G126" s="3" t="s">
        <v>67</v>
      </c>
      <c r="H126" s="3" t="s">
        <v>133</v>
      </c>
      <c r="I126" s="3" t="s">
        <v>134</v>
      </c>
      <c r="J126" s="3" t="s">
        <v>135</v>
      </c>
      <c r="K126" s="3" t="s">
        <v>136</v>
      </c>
      <c r="L126" s="3" t="s">
        <v>137</v>
      </c>
      <c r="M126" s="3" t="s">
        <v>138</v>
      </c>
      <c r="N126" s="3" t="s">
        <v>139</v>
      </c>
      <c r="O126" s="3" t="s">
        <v>140</v>
      </c>
      <c r="P126" s="3" t="s">
        <v>68</v>
      </c>
      <c r="Q126" s="3" t="s">
        <v>71</v>
      </c>
    </row>
    <row r="127" spans="1:17" x14ac:dyDescent="0.25">
      <c r="A127" s="8" t="s">
        <v>141</v>
      </c>
      <c r="B127" s="9">
        <v>61450</v>
      </c>
      <c r="C127" s="9">
        <v>0</v>
      </c>
      <c r="D127" s="9">
        <v>0</v>
      </c>
      <c r="E127" s="9">
        <v>0</v>
      </c>
      <c r="F127" s="9">
        <v>1370</v>
      </c>
      <c r="G127" s="9">
        <v>34383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 t="s">
        <v>142</v>
      </c>
      <c r="P127" s="9" t="s">
        <v>142</v>
      </c>
      <c r="Q127" s="9">
        <v>94044</v>
      </c>
    </row>
    <row r="128" spans="1:17" x14ac:dyDescent="0.25">
      <c r="A128" s="6" t="s">
        <v>143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</row>
    <row r="129" spans="1:17" x14ac:dyDescent="0.25">
      <c r="A129" s="8" t="s">
        <v>144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</row>
    <row r="130" spans="1:17" x14ac:dyDescent="0.25">
      <c r="A130" s="6" t="s">
        <v>145</v>
      </c>
      <c r="B130" s="7">
        <v>61450</v>
      </c>
      <c r="C130" s="7">
        <v>0</v>
      </c>
      <c r="D130" s="7">
        <v>0</v>
      </c>
      <c r="E130" s="7">
        <v>0</v>
      </c>
      <c r="F130" s="7">
        <v>1370</v>
      </c>
      <c r="G130" s="7">
        <v>34383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 t="s">
        <v>142</v>
      </c>
      <c r="P130" s="7" t="s">
        <v>142</v>
      </c>
      <c r="Q130" s="7">
        <v>94044</v>
      </c>
    </row>
    <row r="131" spans="1:17" x14ac:dyDescent="0.25">
      <c r="A131" s="8" t="s">
        <v>146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</row>
    <row r="132" spans="1:17" x14ac:dyDescent="0.25">
      <c r="A132" s="6" t="s">
        <v>147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</row>
    <row r="133" spans="1:17" x14ac:dyDescent="0.25">
      <c r="A133" s="8" t="s">
        <v>148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 t="s">
        <v>313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 t="s">
        <v>313</v>
      </c>
    </row>
    <row r="134" spans="1:17" x14ac:dyDescent="0.25">
      <c r="A134" s="6" t="s">
        <v>149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 t="s">
        <v>315</v>
      </c>
      <c r="P134" s="7" t="s">
        <v>315</v>
      </c>
      <c r="Q134" s="7" t="s">
        <v>315</v>
      </c>
    </row>
    <row r="135" spans="1:17" x14ac:dyDescent="0.25">
      <c r="A135" s="8" t="s">
        <v>151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 t="s">
        <v>313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 t="s">
        <v>315</v>
      </c>
      <c r="P135" s="9" t="s">
        <v>315</v>
      </c>
      <c r="Q135" s="9" t="s">
        <v>316</v>
      </c>
    </row>
    <row r="136" spans="1:17" x14ac:dyDescent="0.25">
      <c r="A136" s="6" t="s">
        <v>153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</row>
    <row r="137" spans="1:17" x14ac:dyDescent="0.25">
      <c r="A137" s="8" t="s">
        <v>154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</row>
    <row r="138" spans="1:17" x14ac:dyDescent="0.25">
      <c r="A138" s="6" t="s">
        <v>155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</row>
    <row r="139" spans="1:17" x14ac:dyDescent="0.25">
      <c r="A139" s="8" t="s">
        <v>156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</row>
    <row r="140" spans="1:17" x14ac:dyDescent="0.25">
      <c r="A140" s="6" t="s">
        <v>157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</row>
    <row r="141" spans="1:17" x14ac:dyDescent="0.25">
      <c r="A141" s="8" t="s">
        <v>158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</row>
    <row r="142" spans="1:17" x14ac:dyDescent="0.25">
      <c r="A142" s="6" t="s">
        <v>159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</row>
    <row r="143" spans="1:17" x14ac:dyDescent="0.25">
      <c r="A143" s="8" t="s">
        <v>160</v>
      </c>
      <c r="B143" s="9">
        <v>0</v>
      </c>
      <c r="C143" s="9">
        <v>0</v>
      </c>
      <c r="D143" s="9">
        <v>0</v>
      </c>
      <c r="E143" s="9">
        <v>0</v>
      </c>
      <c r="F143" s="9">
        <v>295</v>
      </c>
      <c r="G143" s="9" t="s">
        <v>317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28</v>
      </c>
    </row>
    <row r="144" spans="1:17" x14ac:dyDescent="0.25">
      <c r="A144" s="6" t="s">
        <v>161</v>
      </c>
      <c r="B144" s="7">
        <v>0</v>
      </c>
      <c r="C144" s="7">
        <v>0</v>
      </c>
      <c r="D144" s="7">
        <v>0</v>
      </c>
      <c r="E144" s="7">
        <v>0</v>
      </c>
      <c r="F144" s="7">
        <v>295</v>
      </c>
      <c r="G144" s="7" t="s">
        <v>318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 t="s">
        <v>315</v>
      </c>
      <c r="P144" s="7" t="s">
        <v>315</v>
      </c>
      <c r="Q144" s="7" t="s">
        <v>319</v>
      </c>
    </row>
    <row r="145" spans="1:17" x14ac:dyDescent="0.25">
      <c r="A145" s="8" t="s">
        <v>320</v>
      </c>
      <c r="B145" s="9">
        <v>61450</v>
      </c>
      <c r="C145" s="9">
        <v>0</v>
      </c>
      <c r="D145" s="9">
        <v>0</v>
      </c>
      <c r="E145" s="9">
        <v>0</v>
      </c>
      <c r="F145" s="9">
        <v>1665</v>
      </c>
      <c r="G145" s="9">
        <v>32033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 t="s">
        <v>321</v>
      </c>
      <c r="P145" s="9" t="s">
        <v>321</v>
      </c>
      <c r="Q145" s="9">
        <v>91351</v>
      </c>
    </row>
    <row r="146" spans="1:17" x14ac:dyDescent="0.25">
      <c r="A146" s="6" t="s">
        <v>164</v>
      </c>
      <c r="B146" s="7">
        <v>61450</v>
      </c>
      <c r="C146" s="7">
        <v>0</v>
      </c>
      <c r="D146" s="7">
        <v>0</v>
      </c>
      <c r="E146" s="7">
        <v>0</v>
      </c>
      <c r="F146" s="7">
        <v>1665</v>
      </c>
      <c r="G146" s="7">
        <v>33319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 t="s">
        <v>70</v>
      </c>
      <c r="P146" s="7" t="s">
        <v>70</v>
      </c>
      <c r="Q146" s="7">
        <v>92067</v>
      </c>
    </row>
    <row r="147" spans="1:17" x14ac:dyDescent="0.25">
      <c r="A147" s="8" t="s">
        <v>143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</row>
    <row r="148" spans="1:17" x14ac:dyDescent="0.25">
      <c r="A148" s="6" t="s">
        <v>144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</row>
    <row r="149" spans="1:17" x14ac:dyDescent="0.25">
      <c r="A149" s="8" t="s">
        <v>145</v>
      </c>
      <c r="B149" s="9">
        <v>61450</v>
      </c>
      <c r="C149" s="9">
        <v>0</v>
      </c>
      <c r="D149" s="9">
        <v>0</v>
      </c>
      <c r="E149" s="9">
        <v>0</v>
      </c>
      <c r="F149" s="9">
        <v>1665</v>
      </c>
      <c r="G149" s="9">
        <v>33319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 t="s">
        <v>70</v>
      </c>
      <c r="P149" s="9" t="s">
        <v>70</v>
      </c>
      <c r="Q149" s="9">
        <v>92067</v>
      </c>
    </row>
    <row r="150" spans="1:17" x14ac:dyDescent="0.25">
      <c r="A150" s="6" t="s">
        <v>146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</row>
    <row r="151" spans="1:17" x14ac:dyDescent="0.25">
      <c r="A151" s="8" t="s">
        <v>147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</row>
    <row r="152" spans="1:17" x14ac:dyDescent="0.25">
      <c r="A152" s="6" t="s">
        <v>148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1351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1351</v>
      </c>
    </row>
    <row r="153" spans="1:17" x14ac:dyDescent="0.25">
      <c r="A153" s="8" t="s">
        <v>149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1150</v>
      </c>
      <c r="P153" s="9">
        <v>1150</v>
      </c>
      <c r="Q153" s="9">
        <v>1150</v>
      </c>
    </row>
    <row r="154" spans="1:17" x14ac:dyDescent="0.25">
      <c r="A154" s="6" t="s">
        <v>151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1351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1150</v>
      </c>
      <c r="P154" s="7">
        <v>1150</v>
      </c>
      <c r="Q154" s="7">
        <v>2501</v>
      </c>
    </row>
    <row r="155" spans="1:17" x14ac:dyDescent="0.25">
      <c r="A155" s="8" t="s">
        <v>153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 t="s">
        <v>322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 t="s">
        <v>322</v>
      </c>
    </row>
    <row r="156" spans="1:17" x14ac:dyDescent="0.25">
      <c r="A156" s="6" t="s">
        <v>154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</row>
    <row r="157" spans="1:17" x14ac:dyDescent="0.25">
      <c r="A157" s="8" t="s">
        <v>155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</row>
    <row r="158" spans="1:17" x14ac:dyDescent="0.25">
      <c r="A158" s="6" t="s">
        <v>156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</row>
    <row r="159" spans="1:17" x14ac:dyDescent="0.25">
      <c r="A159" s="8" t="s">
        <v>157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</row>
    <row r="160" spans="1:17" x14ac:dyDescent="0.25">
      <c r="A160" s="6" t="s">
        <v>158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</row>
    <row r="161" spans="1:17" x14ac:dyDescent="0.25">
      <c r="A161" s="8" t="s">
        <v>159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</row>
    <row r="162" spans="1:17" x14ac:dyDescent="0.25">
      <c r="A162" s="6" t="s">
        <v>160</v>
      </c>
      <c r="B162" s="7">
        <v>0</v>
      </c>
      <c r="C162" s="7">
        <v>0</v>
      </c>
      <c r="D162" s="7">
        <v>0</v>
      </c>
      <c r="E162" s="7">
        <v>0</v>
      </c>
      <c r="F162" s="7">
        <v>72</v>
      </c>
      <c r="G162" s="7" t="s">
        <v>323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</row>
    <row r="163" spans="1:17" x14ac:dyDescent="0.25">
      <c r="A163" s="8" t="s">
        <v>161</v>
      </c>
      <c r="B163" s="9">
        <v>0</v>
      </c>
      <c r="C163" s="9">
        <v>0</v>
      </c>
      <c r="D163" s="9">
        <v>0</v>
      </c>
      <c r="E163" s="9">
        <v>0</v>
      </c>
      <c r="F163" s="9">
        <v>72</v>
      </c>
      <c r="G163" s="9" t="s">
        <v>324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1150</v>
      </c>
      <c r="P163" s="9">
        <v>1150</v>
      </c>
      <c r="Q163" s="9">
        <v>831</v>
      </c>
    </row>
    <row r="164" spans="1:17" x14ac:dyDescent="0.25">
      <c r="A164" s="6" t="s">
        <v>325</v>
      </c>
      <c r="B164" s="7">
        <v>61450</v>
      </c>
      <c r="C164" s="7">
        <v>0</v>
      </c>
      <c r="D164" s="7">
        <v>0</v>
      </c>
      <c r="E164" s="7">
        <v>0</v>
      </c>
      <c r="F164" s="7">
        <v>1737</v>
      </c>
      <c r="G164" s="7">
        <v>32928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 t="s">
        <v>284</v>
      </c>
      <c r="P164" s="7" t="s">
        <v>284</v>
      </c>
      <c r="Q164" s="7">
        <v>92898</v>
      </c>
    </row>
    <row r="167" spans="1:17" ht="15.75" x14ac:dyDescent="0.25">
      <c r="A167" s="2" t="s">
        <v>167</v>
      </c>
    </row>
    <row r="168" spans="1:17" x14ac:dyDescent="0.25">
      <c r="A168" s="3" t="s">
        <v>7</v>
      </c>
      <c r="B168" s="3" t="s">
        <v>8</v>
      </c>
      <c r="C168" s="3" t="s">
        <v>326</v>
      </c>
      <c r="D168" s="3" t="s">
        <v>327</v>
      </c>
    </row>
    <row r="169" spans="1:17" x14ac:dyDescent="0.25">
      <c r="A169" s="4" t="s">
        <v>170</v>
      </c>
      <c r="B169" s="5">
        <v>0</v>
      </c>
      <c r="C169" s="5">
        <v>0</v>
      </c>
      <c r="D169" s="5">
        <v>0</v>
      </c>
    </row>
    <row r="170" spans="1:17" x14ac:dyDescent="0.25">
      <c r="A170" s="4" t="s">
        <v>171</v>
      </c>
      <c r="B170" s="5">
        <v>0</v>
      </c>
      <c r="C170" s="5">
        <v>0</v>
      </c>
      <c r="D170" s="5">
        <v>0</v>
      </c>
    </row>
    <row r="171" spans="1:17" x14ac:dyDescent="0.25">
      <c r="A171" s="8" t="s">
        <v>172</v>
      </c>
      <c r="B171" s="9">
        <v>0</v>
      </c>
      <c r="C171" s="9">
        <v>63145</v>
      </c>
      <c r="D171" s="9">
        <v>56473</v>
      </c>
    </row>
    <row r="172" spans="1:17" x14ac:dyDescent="0.25">
      <c r="A172" s="6" t="s">
        <v>173</v>
      </c>
      <c r="B172" s="7">
        <v>0</v>
      </c>
      <c r="C172" s="7">
        <v>0</v>
      </c>
      <c r="D172" s="7">
        <v>0</v>
      </c>
    </row>
    <row r="173" spans="1:17" x14ac:dyDescent="0.25">
      <c r="A173" s="8" t="s">
        <v>174</v>
      </c>
      <c r="B173" s="9">
        <v>0</v>
      </c>
      <c r="C173" s="9">
        <v>0</v>
      </c>
      <c r="D173" s="9">
        <v>0</v>
      </c>
    </row>
    <row r="174" spans="1:17" x14ac:dyDescent="0.25">
      <c r="A174" s="6" t="s">
        <v>175</v>
      </c>
      <c r="B174" s="7">
        <v>0</v>
      </c>
      <c r="C174" s="7">
        <v>0</v>
      </c>
      <c r="D174" s="7">
        <v>0</v>
      </c>
    </row>
    <row r="175" spans="1:17" x14ac:dyDescent="0.25">
      <c r="A175" s="8" t="s">
        <v>176</v>
      </c>
      <c r="B175" s="9">
        <v>0</v>
      </c>
      <c r="C175" s="9">
        <v>243</v>
      </c>
      <c r="D175" s="9">
        <v>201</v>
      </c>
    </row>
    <row r="176" spans="1:17" x14ac:dyDescent="0.25">
      <c r="A176" s="4" t="s">
        <v>177</v>
      </c>
      <c r="B176" s="5">
        <v>0</v>
      </c>
      <c r="C176" s="5">
        <v>0</v>
      </c>
      <c r="D176" s="5">
        <v>0</v>
      </c>
    </row>
    <row r="177" spans="1:4" x14ac:dyDescent="0.25">
      <c r="A177" s="8" t="s">
        <v>178</v>
      </c>
      <c r="B177" s="9">
        <v>0</v>
      </c>
      <c r="C177" s="9" t="s">
        <v>328</v>
      </c>
      <c r="D177" s="9" t="s">
        <v>329</v>
      </c>
    </row>
    <row r="178" spans="1:4" x14ac:dyDescent="0.25">
      <c r="A178" s="6" t="s">
        <v>174</v>
      </c>
      <c r="B178" s="7">
        <v>0</v>
      </c>
      <c r="C178" s="7">
        <v>0</v>
      </c>
      <c r="D178" s="7">
        <v>0</v>
      </c>
    </row>
    <row r="179" spans="1:4" x14ac:dyDescent="0.25">
      <c r="A179" s="8" t="s">
        <v>181</v>
      </c>
      <c r="B179" s="9">
        <v>0</v>
      </c>
      <c r="C179" s="9" t="s">
        <v>330</v>
      </c>
      <c r="D179" s="9" t="s">
        <v>331</v>
      </c>
    </row>
    <row r="180" spans="1:4" x14ac:dyDescent="0.25">
      <c r="A180" s="6" t="s">
        <v>184</v>
      </c>
      <c r="B180" s="7">
        <v>0</v>
      </c>
      <c r="C180" s="7">
        <v>0</v>
      </c>
      <c r="D180" s="7">
        <v>0</v>
      </c>
    </row>
    <row r="181" spans="1:4" x14ac:dyDescent="0.25">
      <c r="A181" s="8" t="s">
        <v>185</v>
      </c>
      <c r="B181" s="9">
        <v>0</v>
      </c>
      <c r="C181" s="9" t="s">
        <v>332</v>
      </c>
      <c r="D181" s="9" t="s">
        <v>333</v>
      </c>
    </row>
    <row r="182" spans="1:4" x14ac:dyDescent="0.25">
      <c r="A182" s="6" t="s">
        <v>188</v>
      </c>
      <c r="B182" s="7">
        <v>0</v>
      </c>
      <c r="C182" s="7">
        <v>13136</v>
      </c>
      <c r="D182" s="7">
        <v>7578</v>
      </c>
    </row>
    <row r="183" spans="1:4" x14ac:dyDescent="0.25">
      <c r="A183" s="8" t="s">
        <v>189</v>
      </c>
      <c r="B183" s="9">
        <v>0</v>
      </c>
      <c r="C183" s="9">
        <v>0</v>
      </c>
      <c r="D183" s="9">
        <v>0</v>
      </c>
    </row>
    <row r="184" spans="1:4" x14ac:dyDescent="0.25">
      <c r="A184" s="6" t="s">
        <v>190</v>
      </c>
      <c r="B184" s="7">
        <v>0</v>
      </c>
      <c r="C184" s="7">
        <v>0</v>
      </c>
      <c r="D184" s="7" t="s">
        <v>334</v>
      </c>
    </row>
    <row r="185" spans="1:4" x14ac:dyDescent="0.25">
      <c r="A185" s="8" t="s">
        <v>193</v>
      </c>
      <c r="B185" s="9">
        <v>0</v>
      </c>
      <c r="C185" s="9">
        <v>0</v>
      </c>
      <c r="D185" s="9">
        <v>0</v>
      </c>
    </row>
    <row r="186" spans="1:4" x14ac:dyDescent="0.25">
      <c r="A186" s="6" t="s">
        <v>194</v>
      </c>
      <c r="B186" s="7">
        <v>0</v>
      </c>
      <c r="C186" s="7">
        <v>0</v>
      </c>
      <c r="D186" s="7">
        <v>0</v>
      </c>
    </row>
    <row r="187" spans="1:4" x14ac:dyDescent="0.25">
      <c r="A187" s="8" t="s">
        <v>195</v>
      </c>
      <c r="B187" s="9">
        <v>0</v>
      </c>
      <c r="C187" s="9">
        <v>0</v>
      </c>
      <c r="D187" s="9">
        <v>0</v>
      </c>
    </row>
    <row r="188" spans="1:4" x14ac:dyDescent="0.25">
      <c r="A188" s="6" t="s">
        <v>196</v>
      </c>
      <c r="B188" s="7">
        <v>0</v>
      </c>
      <c r="C188" s="7">
        <v>0</v>
      </c>
      <c r="D188" s="7">
        <v>0</v>
      </c>
    </row>
    <row r="189" spans="1:4" x14ac:dyDescent="0.25">
      <c r="A189" s="4" t="s">
        <v>198</v>
      </c>
      <c r="B189" s="5">
        <v>0</v>
      </c>
      <c r="C189" s="5">
        <v>13136</v>
      </c>
      <c r="D189" s="5">
        <v>5802</v>
      </c>
    </row>
    <row r="190" spans="1:4" x14ac:dyDescent="0.25">
      <c r="A190" s="4" t="s">
        <v>200</v>
      </c>
      <c r="B190" s="5">
        <v>0</v>
      </c>
      <c r="C190" s="5">
        <v>0</v>
      </c>
      <c r="D190" s="5">
        <v>0</v>
      </c>
    </row>
    <row r="191" spans="1:4" x14ac:dyDescent="0.25">
      <c r="A191" s="4" t="s">
        <v>201</v>
      </c>
      <c r="B191" s="5">
        <v>0</v>
      </c>
      <c r="C191" s="5">
        <v>0</v>
      </c>
      <c r="D191" s="5">
        <v>0</v>
      </c>
    </row>
    <row r="192" spans="1:4" x14ac:dyDescent="0.25">
      <c r="A192" s="6" t="s">
        <v>202</v>
      </c>
      <c r="B192" s="7">
        <v>0</v>
      </c>
      <c r="C192" s="7">
        <v>0</v>
      </c>
      <c r="D192" s="7">
        <v>0</v>
      </c>
    </row>
    <row r="193" spans="1:4" x14ac:dyDescent="0.25">
      <c r="A193" s="8" t="s">
        <v>203</v>
      </c>
      <c r="B193" s="9">
        <v>0</v>
      </c>
      <c r="C193" s="9">
        <v>0</v>
      </c>
      <c r="D193" s="9">
        <v>0</v>
      </c>
    </row>
    <row r="194" spans="1:4" x14ac:dyDescent="0.25">
      <c r="A194" s="6" t="s">
        <v>204</v>
      </c>
      <c r="B194" s="7">
        <v>0</v>
      </c>
      <c r="C194" s="7">
        <v>0</v>
      </c>
      <c r="D194" s="7">
        <v>0</v>
      </c>
    </row>
    <row r="195" spans="1:4" x14ac:dyDescent="0.25">
      <c r="A195" s="8" t="s">
        <v>205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206</v>
      </c>
      <c r="B196" s="7">
        <v>0</v>
      </c>
      <c r="C196" s="7">
        <v>0</v>
      </c>
      <c r="D196" s="7">
        <v>0</v>
      </c>
    </row>
    <row r="197" spans="1:4" x14ac:dyDescent="0.25">
      <c r="A197" s="8" t="s">
        <v>207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208</v>
      </c>
      <c r="B198" s="7">
        <v>0</v>
      </c>
      <c r="C198" s="7">
        <v>0</v>
      </c>
      <c r="D198" s="7">
        <v>0</v>
      </c>
    </row>
    <row r="199" spans="1:4" x14ac:dyDescent="0.25">
      <c r="A199" s="8" t="s">
        <v>209</v>
      </c>
      <c r="B199" s="9">
        <v>0</v>
      </c>
      <c r="C199" s="9">
        <v>0</v>
      </c>
      <c r="D199" s="9">
        <v>0</v>
      </c>
    </row>
    <row r="200" spans="1:4" x14ac:dyDescent="0.25">
      <c r="A200" s="6" t="s">
        <v>210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211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212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213</v>
      </c>
      <c r="B203" s="9">
        <v>0</v>
      </c>
      <c r="C203" s="9">
        <v>0</v>
      </c>
      <c r="D203" s="9">
        <v>0</v>
      </c>
    </row>
    <row r="204" spans="1:4" x14ac:dyDescent="0.25">
      <c r="A204" s="4" t="s">
        <v>214</v>
      </c>
      <c r="B204" s="5">
        <v>0</v>
      </c>
      <c r="C204" s="5">
        <v>0</v>
      </c>
      <c r="D204" s="5">
        <v>0</v>
      </c>
    </row>
    <row r="205" spans="1:4" x14ac:dyDescent="0.25">
      <c r="A205" s="8" t="s">
        <v>215</v>
      </c>
      <c r="B205" s="9">
        <v>0</v>
      </c>
      <c r="C205" s="9">
        <v>0</v>
      </c>
      <c r="D205" s="9">
        <v>0</v>
      </c>
    </row>
    <row r="206" spans="1:4" x14ac:dyDescent="0.25">
      <c r="A206" s="6" t="s">
        <v>216</v>
      </c>
      <c r="B206" s="7">
        <v>0</v>
      </c>
      <c r="C206" s="7">
        <v>0</v>
      </c>
      <c r="D206" s="7">
        <v>0</v>
      </c>
    </row>
    <row r="207" spans="1:4" x14ac:dyDescent="0.25">
      <c r="A207" s="8" t="s">
        <v>217</v>
      </c>
      <c r="B207" s="9">
        <v>0</v>
      </c>
      <c r="C207" s="9">
        <v>0</v>
      </c>
      <c r="D207" s="9">
        <v>0</v>
      </c>
    </row>
    <row r="208" spans="1:4" x14ac:dyDescent="0.25">
      <c r="A208" s="6" t="s">
        <v>218</v>
      </c>
      <c r="B208" s="7">
        <v>0</v>
      </c>
      <c r="C208" s="7">
        <v>0</v>
      </c>
      <c r="D208" s="7">
        <v>0</v>
      </c>
    </row>
    <row r="209" spans="1:4" x14ac:dyDescent="0.25">
      <c r="A209" s="8" t="s">
        <v>206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219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220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221</v>
      </c>
      <c r="B212" s="7">
        <v>0</v>
      </c>
      <c r="C212" s="7" t="s">
        <v>335</v>
      </c>
      <c r="D212" s="7" t="s">
        <v>336</v>
      </c>
    </row>
    <row r="213" spans="1:4" x14ac:dyDescent="0.25">
      <c r="A213" s="8" t="s">
        <v>224</v>
      </c>
      <c r="B213" s="9">
        <v>0</v>
      </c>
      <c r="C213" s="9" t="s">
        <v>337</v>
      </c>
      <c r="D213" s="9" t="s">
        <v>338</v>
      </c>
    </row>
    <row r="214" spans="1:4" x14ac:dyDescent="0.25">
      <c r="A214" s="6" t="s">
        <v>227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195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228</v>
      </c>
      <c r="B216" s="7">
        <v>0</v>
      </c>
      <c r="C216" s="7">
        <v>0</v>
      </c>
      <c r="D216" s="7">
        <v>0</v>
      </c>
    </row>
    <row r="217" spans="1:4" x14ac:dyDescent="0.25">
      <c r="A217" s="4" t="s">
        <v>229</v>
      </c>
      <c r="B217" s="5">
        <v>0</v>
      </c>
      <c r="C217" s="5" t="s">
        <v>339</v>
      </c>
      <c r="D217" s="5" t="s">
        <v>340</v>
      </c>
    </row>
    <row r="218" spans="1:4" x14ac:dyDescent="0.25">
      <c r="A218" s="4" t="s">
        <v>232</v>
      </c>
      <c r="B218" s="5">
        <v>0</v>
      </c>
      <c r="C218" s="5">
        <v>0</v>
      </c>
      <c r="D218" s="5">
        <v>0</v>
      </c>
    </row>
    <row r="219" spans="1:4" x14ac:dyDescent="0.25">
      <c r="A219" s="4" t="s">
        <v>233</v>
      </c>
      <c r="B219" s="5">
        <v>0</v>
      </c>
      <c r="C219" s="5">
        <v>0</v>
      </c>
      <c r="D219" s="5">
        <v>0</v>
      </c>
    </row>
    <row r="220" spans="1:4" x14ac:dyDescent="0.25">
      <c r="A220" s="6" t="s">
        <v>234</v>
      </c>
      <c r="B220" s="7">
        <v>0</v>
      </c>
      <c r="C220" s="7">
        <v>0</v>
      </c>
      <c r="D220" s="7">
        <v>4744</v>
      </c>
    </row>
    <row r="221" spans="1:4" x14ac:dyDescent="0.25">
      <c r="A221" s="8" t="s">
        <v>235</v>
      </c>
      <c r="B221" s="9">
        <v>0</v>
      </c>
      <c r="C221" s="9">
        <v>0</v>
      </c>
      <c r="D221" s="9">
        <v>0</v>
      </c>
    </row>
    <row r="222" spans="1:4" x14ac:dyDescent="0.25">
      <c r="A222" s="6" t="s">
        <v>236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237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238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211</v>
      </c>
      <c r="B225" s="9">
        <v>0</v>
      </c>
      <c r="C225" s="9">
        <v>0</v>
      </c>
      <c r="D225" s="9">
        <v>0</v>
      </c>
    </row>
    <row r="226" spans="1:4" x14ac:dyDescent="0.25">
      <c r="A226" s="4" t="s">
        <v>239</v>
      </c>
      <c r="B226" s="5">
        <v>0</v>
      </c>
      <c r="C226" s="5">
        <v>0</v>
      </c>
      <c r="D226" s="5">
        <v>0</v>
      </c>
    </row>
    <row r="227" spans="1:4" x14ac:dyDescent="0.25">
      <c r="A227" s="8" t="s">
        <v>240</v>
      </c>
      <c r="B227" s="9">
        <v>0</v>
      </c>
      <c r="C227" s="9" t="s">
        <v>341</v>
      </c>
      <c r="D227" s="9" t="s">
        <v>342</v>
      </c>
    </row>
    <row r="228" spans="1:4" x14ac:dyDescent="0.25">
      <c r="A228" s="6" t="s">
        <v>243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235</v>
      </c>
      <c r="B229" s="9">
        <v>0</v>
      </c>
      <c r="C229" s="9">
        <v>0</v>
      </c>
      <c r="D229" s="9">
        <v>0</v>
      </c>
    </row>
    <row r="230" spans="1:4" x14ac:dyDescent="0.25">
      <c r="A230" s="6" t="s">
        <v>236</v>
      </c>
      <c r="B230" s="7">
        <v>0</v>
      </c>
      <c r="C230" s="7">
        <v>0</v>
      </c>
      <c r="D230" s="7">
        <v>0</v>
      </c>
    </row>
    <row r="231" spans="1:4" x14ac:dyDescent="0.25">
      <c r="A231" s="8" t="s">
        <v>244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245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246</v>
      </c>
      <c r="B233" s="9">
        <v>0</v>
      </c>
      <c r="C233" s="9" t="s">
        <v>343</v>
      </c>
      <c r="D233" s="9">
        <v>0</v>
      </c>
    </row>
    <row r="234" spans="1:4" x14ac:dyDescent="0.25">
      <c r="A234" s="6" t="s">
        <v>247</v>
      </c>
      <c r="B234" s="7">
        <v>0</v>
      </c>
      <c r="C234" s="7">
        <v>0</v>
      </c>
      <c r="D234" s="7">
        <v>0</v>
      </c>
    </row>
    <row r="235" spans="1:4" x14ac:dyDescent="0.25">
      <c r="A235" s="8" t="s">
        <v>195</v>
      </c>
      <c r="B235" s="9">
        <v>0</v>
      </c>
      <c r="C235" s="9">
        <v>0</v>
      </c>
      <c r="D235" s="9">
        <v>0</v>
      </c>
    </row>
    <row r="236" spans="1:4" x14ac:dyDescent="0.25">
      <c r="A236" s="6" t="s">
        <v>248</v>
      </c>
      <c r="B236" s="7">
        <v>0</v>
      </c>
      <c r="C236" s="7">
        <v>0</v>
      </c>
      <c r="D236" s="7">
        <v>0</v>
      </c>
    </row>
    <row r="237" spans="1:4" x14ac:dyDescent="0.25">
      <c r="A237" s="4" t="s">
        <v>249</v>
      </c>
      <c r="B237" s="5">
        <v>0</v>
      </c>
      <c r="C237" s="5" t="s">
        <v>344</v>
      </c>
      <c r="D237" s="5">
        <v>1200</v>
      </c>
    </row>
    <row r="238" spans="1:4" x14ac:dyDescent="0.25">
      <c r="A238" s="6" t="s">
        <v>250</v>
      </c>
      <c r="B238" s="7">
        <v>0</v>
      </c>
      <c r="C238" s="7" t="s">
        <v>345</v>
      </c>
      <c r="D238" s="7" t="s">
        <v>346</v>
      </c>
    </row>
    <row r="239" spans="1:4" x14ac:dyDescent="0.25">
      <c r="A239" s="8" t="s">
        <v>253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254</v>
      </c>
      <c r="B240" s="7">
        <v>0</v>
      </c>
      <c r="C240" s="7" t="s">
        <v>345</v>
      </c>
      <c r="D240" s="7" t="s">
        <v>346</v>
      </c>
    </row>
    <row r="241" spans="1:6" x14ac:dyDescent="0.25">
      <c r="A241" s="8" t="s">
        <v>255</v>
      </c>
      <c r="B241" s="9">
        <v>3</v>
      </c>
      <c r="C241" s="9">
        <v>19673</v>
      </c>
      <c r="D241" s="9">
        <v>6179</v>
      </c>
    </row>
    <row r="242" spans="1:6" x14ac:dyDescent="0.25">
      <c r="A242" s="4" t="s">
        <v>256</v>
      </c>
      <c r="B242" s="5">
        <v>3</v>
      </c>
      <c r="C242" s="5">
        <v>3253</v>
      </c>
      <c r="D242" s="5">
        <v>784</v>
      </c>
    </row>
    <row r="245" spans="1:6" ht="15.75" x14ac:dyDescent="0.25">
      <c r="A245" s="2" t="s">
        <v>257</v>
      </c>
    </row>
    <row r="246" spans="1:6" x14ac:dyDescent="0.25">
      <c r="A246" s="3" t="s">
        <v>7</v>
      </c>
      <c r="B246" s="3" t="s">
        <v>8</v>
      </c>
      <c r="C246" s="3" t="s">
        <v>285</v>
      </c>
      <c r="D246" s="3" t="s">
        <v>286</v>
      </c>
      <c r="E246" s="3" t="s">
        <v>287</v>
      </c>
      <c r="F246" s="3" t="s">
        <v>288</v>
      </c>
    </row>
    <row r="247" spans="1:6" x14ac:dyDescent="0.25">
      <c r="A247" s="8" t="s">
        <v>258</v>
      </c>
      <c r="B247" s="9">
        <v>0</v>
      </c>
      <c r="C247" s="9">
        <v>2125</v>
      </c>
      <c r="D247" s="9">
        <v>185</v>
      </c>
      <c r="E247" s="9">
        <v>1351</v>
      </c>
      <c r="F247" s="9" t="s">
        <v>313</v>
      </c>
    </row>
    <row r="248" spans="1:6" x14ac:dyDescent="0.25">
      <c r="A248" s="4" t="s">
        <v>259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</row>
    <row r="249" spans="1:6" x14ac:dyDescent="0.25">
      <c r="A249" s="8" t="s">
        <v>260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</row>
    <row r="250" spans="1:6" x14ac:dyDescent="0.25">
      <c r="A250" s="6" t="s">
        <v>134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</row>
    <row r="251" spans="1:6" x14ac:dyDescent="0.25">
      <c r="A251" s="8" t="s">
        <v>261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</row>
    <row r="252" spans="1:6" x14ac:dyDescent="0.25">
      <c r="A252" s="6" t="s">
        <v>262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</row>
    <row r="253" spans="1:6" x14ac:dyDescent="0.25">
      <c r="A253" s="8" t="s">
        <v>263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</row>
    <row r="254" spans="1:6" x14ac:dyDescent="0.25">
      <c r="A254" s="6" t="s">
        <v>138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</row>
    <row r="255" spans="1:6" x14ac:dyDescent="0.25">
      <c r="A255" s="8" t="s">
        <v>264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</row>
    <row r="256" spans="1:6" x14ac:dyDescent="0.25">
      <c r="A256" s="6" t="s">
        <v>140</v>
      </c>
      <c r="B256" s="7">
        <v>0</v>
      </c>
      <c r="C256" s="7">
        <v>747</v>
      </c>
      <c r="D256" s="7" t="s">
        <v>347</v>
      </c>
      <c r="E256" s="7">
        <v>1554</v>
      </c>
      <c r="F256" s="7" t="s">
        <v>348</v>
      </c>
    </row>
    <row r="257" spans="1:6" x14ac:dyDescent="0.25">
      <c r="A257" s="4" t="s">
        <v>266</v>
      </c>
      <c r="B257" s="5">
        <v>0</v>
      </c>
      <c r="C257" s="5">
        <v>747</v>
      </c>
      <c r="D257" s="5" t="s">
        <v>347</v>
      </c>
      <c r="E257" s="5">
        <v>1554</v>
      </c>
      <c r="F257" s="5" t="s">
        <v>348</v>
      </c>
    </row>
    <row r="258" spans="1:6" x14ac:dyDescent="0.25">
      <c r="A258" s="4" t="s">
        <v>267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</row>
    <row r="259" spans="1:6" x14ac:dyDescent="0.25">
      <c r="A259" s="8" t="s">
        <v>260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</row>
    <row r="260" spans="1:6" x14ac:dyDescent="0.25">
      <c r="A260" s="6" t="s">
        <v>134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</row>
    <row r="261" spans="1:6" x14ac:dyDescent="0.25">
      <c r="A261" s="8" t="s">
        <v>261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</row>
    <row r="262" spans="1:6" x14ac:dyDescent="0.25">
      <c r="A262" s="6" t="s">
        <v>262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</row>
    <row r="263" spans="1:6" x14ac:dyDescent="0.25">
      <c r="A263" s="8" t="s">
        <v>263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</row>
    <row r="264" spans="1:6" x14ac:dyDescent="0.25">
      <c r="A264" s="6" t="s">
        <v>138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</row>
    <row r="265" spans="1:6" x14ac:dyDescent="0.25">
      <c r="A265" s="8" t="s">
        <v>264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</row>
    <row r="266" spans="1:6" x14ac:dyDescent="0.25">
      <c r="A266" s="6" t="s">
        <v>140</v>
      </c>
      <c r="B266" s="7">
        <v>0</v>
      </c>
      <c r="C266" s="7" t="s">
        <v>349</v>
      </c>
      <c r="D266" s="7">
        <v>55</v>
      </c>
      <c r="E266" s="7" t="s">
        <v>350</v>
      </c>
      <c r="F266" s="7">
        <v>224</v>
      </c>
    </row>
    <row r="267" spans="1:6" x14ac:dyDescent="0.25">
      <c r="A267" s="4" t="s">
        <v>269</v>
      </c>
      <c r="B267" s="5">
        <v>0</v>
      </c>
      <c r="C267" s="5" t="s">
        <v>349</v>
      </c>
      <c r="D267" s="5">
        <v>55</v>
      </c>
      <c r="E267" s="5" t="s">
        <v>350</v>
      </c>
      <c r="F267" s="5">
        <v>224</v>
      </c>
    </row>
    <row r="268" spans="1:6" x14ac:dyDescent="0.25">
      <c r="A268" s="4" t="s">
        <v>270</v>
      </c>
      <c r="B268" s="5">
        <v>0</v>
      </c>
      <c r="C268" s="5">
        <v>553</v>
      </c>
      <c r="D268" s="5" t="s">
        <v>351</v>
      </c>
      <c r="E268" s="5">
        <v>1150</v>
      </c>
      <c r="F268" s="5" t="s">
        <v>315</v>
      </c>
    </row>
    <row r="269" spans="1:6" x14ac:dyDescent="0.25">
      <c r="A269" s="4" t="s">
        <v>271</v>
      </c>
      <c r="B269" s="5">
        <v>0</v>
      </c>
      <c r="C269" s="5">
        <v>2678</v>
      </c>
      <c r="D269" s="5">
        <v>29</v>
      </c>
      <c r="E269" s="5">
        <v>2501</v>
      </c>
      <c r="F269" s="5" t="s">
        <v>316</v>
      </c>
    </row>
    <row r="272" spans="1:6" ht="15.75" x14ac:dyDescent="0.25">
      <c r="A272" s="2" t="s">
        <v>272</v>
      </c>
    </row>
    <row r="273" spans="1:2" x14ac:dyDescent="0.25">
      <c r="A273" s="3" t="s">
        <v>273</v>
      </c>
      <c r="B273" s="3" t="s">
        <v>274</v>
      </c>
    </row>
    <row r="274" spans="1:2" x14ac:dyDescent="0.25">
      <c r="A274" s="4" t="s">
        <v>275</v>
      </c>
      <c r="B274" s="5"/>
    </row>
    <row r="275" spans="1:2" x14ac:dyDescent="0.25">
      <c r="A275" s="8" t="s">
        <v>276</v>
      </c>
      <c r="B275" s="10">
        <v>42578.759259259299</v>
      </c>
    </row>
    <row r="276" spans="1:2" x14ac:dyDescent="0.25">
      <c r="A276" s="6" t="s">
        <v>277</v>
      </c>
      <c r="B276" s="11">
        <v>42578.755706018499</v>
      </c>
    </row>
    <row r="277" spans="1:2" x14ac:dyDescent="0.25">
      <c r="A277" s="4" t="s">
        <v>278</v>
      </c>
      <c r="B277" s="5"/>
    </row>
    <row r="278" spans="1:2" x14ac:dyDescent="0.25">
      <c r="A278" s="6" t="s">
        <v>277</v>
      </c>
      <c r="B278" s="11">
        <v>42578.756041666697</v>
      </c>
    </row>
    <row r="279" spans="1:2" x14ac:dyDescent="0.25">
      <c r="A279" s="8" t="s">
        <v>276</v>
      </c>
      <c r="B279" s="10">
        <v>42578.759560185201</v>
      </c>
    </row>
    <row r="280" spans="1:2" x14ac:dyDescent="0.25">
      <c r="A280" s="4" t="s">
        <v>279</v>
      </c>
      <c r="B280" s="5"/>
    </row>
    <row r="281" spans="1:2" x14ac:dyDescent="0.25">
      <c r="A281" s="8" t="s">
        <v>276</v>
      </c>
      <c r="B281" s="10">
        <v>42578.759814814803</v>
      </c>
    </row>
    <row r="282" spans="1:2" x14ac:dyDescent="0.25">
      <c r="A282" s="6" t="s">
        <v>277</v>
      </c>
      <c r="B282" s="11">
        <v>42578.7563310185</v>
      </c>
    </row>
    <row r="283" spans="1:2" x14ac:dyDescent="0.25">
      <c r="A283" s="4" t="s">
        <v>280</v>
      </c>
      <c r="B283" s="5"/>
    </row>
    <row r="284" spans="1:2" x14ac:dyDescent="0.25">
      <c r="A284" s="6" t="s">
        <v>277</v>
      </c>
      <c r="B284" s="11">
        <v>42578.756608796299</v>
      </c>
    </row>
    <row r="285" spans="1:2" x14ac:dyDescent="0.25">
      <c r="A285" s="8" t="s">
        <v>276</v>
      </c>
      <c r="B285" s="10">
        <v>42578.760127314803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E14F-9489-4078-BE3D-27A00A755D4D}">
  <dimension ref="A1:Q285"/>
  <sheetViews>
    <sheetView topLeftCell="A212" workbookViewId="0">
      <selection activeCell="A182" sqref="A182"/>
    </sheetView>
  </sheetViews>
  <sheetFormatPr defaultRowHeight="15" x14ac:dyDescent="0.25"/>
  <cols>
    <col min="1" max="1" width="50.7109375" customWidth="1"/>
    <col min="2" max="2" width="17.28515625" customWidth="1"/>
    <col min="3" max="4" width="49" customWidth="1"/>
    <col min="5" max="6" width="51.42578125" customWidth="1"/>
    <col min="7" max="7" width="22.5703125" customWidth="1"/>
    <col min="8" max="8" width="29.85546875" customWidth="1"/>
    <col min="9" max="9" width="52.140625" customWidth="1"/>
    <col min="10" max="10" width="63.42578125" customWidth="1"/>
    <col min="11" max="11" width="63.28515625" customWidth="1"/>
    <col min="12" max="12" width="60.140625" customWidth="1"/>
    <col min="13" max="13" width="23.85546875" customWidth="1"/>
    <col min="14" max="14" width="55.85546875" customWidth="1"/>
    <col min="15" max="15" width="95.5703125" customWidth="1"/>
    <col min="16" max="16" width="27.7109375" customWidth="1"/>
    <col min="17" max="17" width="16.42578125" customWidth="1"/>
  </cols>
  <sheetData>
    <row r="1" spans="1:4" ht="18.75" x14ac:dyDescent="0.3">
      <c r="A1" s="1" t="s">
        <v>0</v>
      </c>
    </row>
    <row r="2" spans="1:4" x14ac:dyDescent="0.25">
      <c r="A2" t="s">
        <v>352</v>
      </c>
    </row>
    <row r="3" spans="1:4" x14ac:dyDescent="0.25">
      <c r="A3" t="s">
        <v>2</v>
      </c>
    </row>
    <row r="4" spans="1:4" x14ac:dyDescent="0.25">
      <c r="A4" t="s">
        <v>353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354</v>
      </c>
      <c r="D9" s="3" t="s">
        <v>10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2052</v>
      </c>
      <c r="D12" s="7">
        <v>19673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15</v>
      </c>
      <c r="B14" s="7">
        <v>0</v>
      </c>
      <c r="C14" s="7">
        <v>19133</v>
      </c>
      <c r="D14" s="7">
        <v>11323</v>
      </c>
    </row>
    <row r="15" spans="1:4" x14ac:dyDescent="0.25">
      <c r="A15" s="8" t="s">
        <v>16</v>
      </c>
      <c r="B15" s="9">
        <v>4</v>
      </c>
      <c r="C15" s="9">
        <v>15605</v>
      </c>
      <c r="D15" s="9">
        <v>9158</v>
      </c>
    </row>
    <row r="16" spans="1:4" x14ac:dyDescent="0.25">
      <c r="A16" s="6" t="s">
        <v>17</v>
      </c>
      <c r="B16" s="7">
        <v>0</v>
      </c>
      <c r="C16" s="7">
        <v>2089</v>
      </c>
      <c r="D16" s="7">
        <v>871</v>
      </c>
    </row>
    <row r="17" spans="1:4" x14ac:dyDescent="0.25">
      <c r="A17" s="8" t="s">
        <v>18</v>
      </c>
      <c r="B17" s="9">
        <v>0</v>
      </c>
      <c r="C17" s="9">
        <v>1439</v>
      </c>
      <c r="D17" s="9">
        <v>1294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1991</v>
      </c>
      <c r="D19" s="9">
        <v>1851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23</v>
      </c>
      <c r="B22" s="7">
        <v>6</v>
      </c>
      <c r="C22" s="7">
        <v>8095</v>
      </c>
      <c r="D22" s="7">
        <v>7861</v>
      </c>
    </row>
    <row r="23" spans="1:4" x14ac:dyDescent="0.25">
      <c r="A23" s="8" t="s">
        <v>24</v>
      </c>
      <c r="B23" s="9">
        <v>0</v>
      </c>
      <c r="C23" s="9">
        <v>31271</v>
      </c>
      <c r="D23" s="9">
        <v>40708</v>
      </c>
    </row>
    <row r="24" spans="1:4" x14ac:dyDescent="0.25">
      <c r="A24" s="6" t="s">
        <v>25</v>
      </c>
      <c r="B24" s="7">
        <v>0</v>
      </c>
      <c r="C24" s="7">
        <v>0</v>
      </c>
      <c r="D24" s="7">
        <v>0</v>
      </c>
    </row>
    <row r="25" spans="1:4" x14ac:dyDescent="0.25">
      <c r="A25" s="8" t="s">
        <v>26</v>
      </c>
      <c r="B25" s="9">
        <v>0</v>
      </c>
      <c r="C25" s="9">
        <v>0</v>
      </c>
      <c r="D25" s="9">
        <v>0</v>
      </c>
    </row>
    <row r="26" spans="1:4" x14ac:dyDescent="0.25">
      <c r="A26" s="6" t="s">
        <v>27</v>
      </c>
      <c r="B26" s="7">
        <v>0</v>
      </c>
      <c r="C26" s="7">
        <v>0</v>
      </c>
      <c r="D26" s="7">
        <v>0</v>
      </c>
    </row>
    <row r="27" spans="1:4" x14ac:dyDescent="0.25">
      <c r="A27" s="4" t="s">
        <v>28</v>
      </c>
      <c r="B27" s="5">
        <v>0</v>
      </c>
      <c r="C27" s="5">
        <v>31271</v>
      </c>
      <c r="D27" s="5">
        <v>40708</v>
      </c>
    </row>
    <row r="28" spans="1:4" x14ac:dyDescent="0.25">
      <c r="A28" s="4" t="s">
        <v>29</v>
      </c>
      <c r="B28" s="5">
        <v>0</v>
      </c>
      <c r="C28" s="5">
        <v>0</v>
      </c>
      <c r="D28" s="5">
        <v>0</v>
      </c>
    </row>
    <row r="29" spans="1:4" x14ac:dyDescent="0.25">
      <c r="A29" s="8" t="s">
        <v>14</v>
      </c>
      <c r="B29" s="9">
        <v>0</v>
      </c>
      <c r="C29" s="9">
        <v>0</v>
      </c>
      <c r="D29" s="9">
        <v>0</v>
      </c>
    </row>
    <row r="30" spans="1:4" x14ac:dyDescent="0.25">
      <c r="A30" s="6" t="s">
        <v>30</v>
      </c>
      <c r="B30" s="7">
        <v>7</v>
      </c>
      <c r="C30" s="7">
        <v>12806</v>
      </c>
      <c r="D30" s="7">
        <v>12806</v>
      </c>
    </row>
    <row r="31" spans="1:4" x14ac:dyDescent="0.25">
      <c r="A31" s="8" t="s">
        <v>15</v>
      </c>
      <c r="B31" s="9">
        <v>0</v>
      </c>
      <c r="C31" s="9">
        <v>3858</v>
      </c>
      <c r="D31" s="9">
        <v>5120</v>
      </c>
    </row>
    <row r="32" spans="1:4" x14ac:dyDescent="0.25">
      <c r="A32" s="6" t="s">
        <v>31</v>
      </c>
      <c r="B32" s="7">
        <v>0</v>
      </c>
      <c r="C32" s="7">
        <v>0</v>
      </c>
      <c r="D32" s="7">
        <v>0</v>
      </c>
    </row>
    <row r="33" spans="1:4" x14ac:dyDescent="0.25">
      <c r="A33" s="8" t="s">
        <v>32</v>
      </c>
      <c r="B33" s="9">
        <v>0</v>
      </c>
      <c r="C33" s="9">
        <v>3544</v>
      </c>
      <c r="D33" s="9">
        <v>3988</v>
      </c>
    </row>
    <row r="34" spans="1:4" x14ac:dyDescent="0.25">
      <c r="A34" s="6" t="s">
        <v>18</v>
      </c>
      <c r="B34" s="7">
        <v>0</v>
      </c>
      <c r="C34" s="7">
        <v>314</v>
      </c>
      <c r="D34" s="7">
        <v>1132</v>
      </c>
    </row>
    <row r="35" spans="1:4" x14ac:dyDescent="0.25">
      <c r="A35" s="8" t="s">
        <v>19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34</v>
      </c>
      <c r="B38" s="7">
        <v>8</v>
      </c>
      <c r="C38" s="7">
        <v>172786</v>
      </c>
      <c r="D38" s="7">
        <v>155936</v>
      </c>
    </row>
    <row r="39" spans="1:4" x14ac:dyDescent="0.25">
      <c r="A39" s="8" t="s">
        <v>35</v>
      </c>
      <c r="B39" s="9">
        <v>9</v>
      </c>
      <c r="C39" s="9">
        <v>7960</v>
      </c>
      <c r="D39" s="9">
        <v>2232</v>
      </c>
    </row>
    <row r="40" spans="1:4" x14ac:dyDescent="0.25">
      <c r="A40" s="6" t="s">
        <v>36</v>
      </c>
      <c r="B40" s="7">
        <v>0</v>
      </c>
      <c r="C40" s="7">
        <v>0</v>
      </c>
      <c r="D40" s="7">
        <v>0</v>
      </c>
    </row>
    <row r="41" spans="1:4" x14ac:dyDescent="0.25">
      <c r="A41" s="8" t="s">
        <v>37</v>
      </c>
      <c r="B41" s="9">
        <v>0</v>
      </c>
      <c r="C41" s="9">
        <v>0</v>
      </c>
      <c r="D41" s="9">
        <v>0</v>
      </c>
    </row>
    <row r="42" spans="1:4" x14ac:dyDescent="0.25">
      <c r="A42" s="6" t="s">
        <v>23</v>
      </c>
      <c r="B42" s="7">
        <v>0</v>
      </c>
      <c r="C42" s="7">
        <v>0</v>
      </c>
      <c r="D42" s="7">
        <v>0</v>
      </c>
    </row>
    <row r="43" spans="1:4" x14ac:dyDescent="0.25">
      <c r="A43" s="4" t="s">
        <v>38</v>
      </c>
      <c r="B43" s="5">
        <v>0</v>
      </c>
      <c r="C43" s="5">
        <v>197410</v>
      </c>
      <c r="D43" s="5">
        <v>176094</v>
      </c>
    </row>
    <row r="44" spans="1:4" x14ac:dyDescent="0.25">
      <c r="A44" s="4" t="s">
        <v>39</v>
      </c>
      <c r="B44" s="5">
        <v>0</v>
      </c>
      <c r="C44" s="5">
        <v>228681</v>
      </c>
      <c r="D44" s="5">
        <v>216802</v>
      </c>
    </row>
    <row r="45" spans="1:4" x14ac:dyDescent="0.25">
      <c r="A45" s="4" t="s">
        <v>40</v>
      </c>
      <c r="B45" s="5">
        <v>0</v>
      </c>
      <c r="C45" s="5">
        <v>0</v>
      </c>
      <c r="D45" s="5">
        <v>0</v>
      </c>
    </row>
    <row r="46" spans="1:4" x14ac:dyDescent="0.25">
      <c r="A46" s="4" t="s">
        <v>41</v>
      </c>
      <c r="B46" s="5">
        <v>0</v>
      </c>
      <c r="C46" s="5">
        <v>0</v>
      </c>
      <c r="D46" s="5">
        <v>0</v>
      </c>
    </row>
    <row r="47" spans="1:4" x14ac:dyDescent="0.25">
      <c r="A47" s="8" t="s">
        <v>42</v>
      </c>
      <c r="B47" s="9">
        <v>10</v>
      </c>
      <c r="C47" s="9">
        <v>11142</v>
      </c>
      <c r="D47" s="9">
        <v>5930</v>
      </c>
    </row>
    <row r="48" spans="1:4" x14ac:dyDescent="0.25">
      <c r="A48" s="6" t="s">
        <v>43</v>
      </c>
      <c r="B48" s="7">
        <v>0</v>
      </c>
      <c r="C48" s="7">
        <v>29460</v>
      </c>
      <c r="D48" s="7">
        <v>25046</v>
      </c>
    </row>
    <row r="49" spans="1:4" x14ac:dyDescent="0.25">
      <c r="A49" s="8" t="s">
        <v>44</v>
      </c>
      <c r="B49" s="9">
        <v>11</v>
      </c>
      <c r="C49" s="9">
        <v>19035</v>
      </c>
      <c r="D49" s="9">
        <v>17221</v>
      </c>
    </row>
    <row r="50" spans="1:4" x14ac:dyDescent="0.25">
      <c r="A50" s="6" t="s">
        <v>45</v>
      </c>
      <c r="B50" s="7">
        <v>12</v>
      </c>
      <c r="C50" s="7">
        <v>6518</v>
      </c>
      <c r="D50" s="7">
        <v>5299</v>
      </c>
    </row>
    <row r="51" spans="1:4" x14ac:dyDescent="0.25">
      <c r="A51" s="8" t="s">
        <v>46</v>
      </c>
      <c r="B51" s="9">
        <v>0</v>
      </c>
      <c r="C51" s="9">
        <v>476</v>
      </c>
      <c r="D51" s="9">
        <v>478</v>
      </c>
    </row>
    <row r="52" spans="1:4" x14ac:dyDescent="0.25">
      <c r="A52" s="6" t="s">
        <v>47</v>
      </c>
      <c r="B52" s="7">
        <v>0</v>
      </c>
      <c r="C52" s="7">
        <v>3431</v>
      </c>
      <c r="D52" s="7">
        <v>2048</v>
      </c>
    </row>
    <row r="53" spans="1:4" x14ac:dyDescent="0.25">
      <c r="A53" s="8" t="s">
        <v>48</v>
      </c>
      <c r="B53" s="9">
        <v>0</v>
      </c>
      <c r="C53" s="9">
        <v>0</v>
      </c>
      <c r="D53" s="9">
        <v>0</v>
      </c>
    </row>
    <row r="54" spans="1:4" x14ac:dyDescent="0.25">
      <c r="A54" s="6" t="s">
        <v>49</v>
      </c>
      <c r="B54" s="7">
        <v>0</v>
      </c>
      <c r="C54" s="7">
        <v>0</v>
      </c>
      <c r="D54" s="7">
        <v>0</v>
      </c>
    </row>
    <row r="55" spans="1:4" x14ac:dyDescent="0.25">
      <c r="A55" s="8" t="s">
        <v>50</v>
      </c>
      <c r="B55" s="9">
        <v>0</v>
      </c>
      <c r="C55" s="9">
        <v>0</v>
      </c>
      <c r="D55" s="9">
        <v>0</v>
      </c>
    </row>
    <row r="56" spans="1:4" x14ac:dyDescent="0.25">
      <c r="A56" s="6" t="s">
        <v>51</v>
      </c>
      <c r="B56" s="7">
        <v>0</v>
      </c>
      <c r="C56" s="7">
        <v>0</v>
      </c>
      <c r="D56" s="7">
        <v>0</v>
      </c>
    </row>
    <row r="57" spans="1:4" x14ac:dyDescent="0.25">
      <c r="A57" s="8" t="s">
        <v>52</v>
      </c>
      <c r="B57" s="9">
        <v>0</v>
      </c>
      <c r="C57" s="9">
        <v>40602</v>
      </c>
      <c r="D57" s="9">
        <v>30976</v>
      </c>
    </row>
    <row r="58" spans="1:4" x14ac:dyDescent="0.25">
      <c r="A58" s="6" t="s">
        <v>53</v>
      </c>
      <c r="B58" s="7">
        <v>0</v>
      </c>
      <c r="C58" s="7">
        <v>0</v>
      </c>
      <c r="D58" s="7">
        <v>0</v>
      </c>
    </row>
    <row r="59" spans="1:4" x14ac:dyDescent="0.25">
      <c r="A59" s="4" t="s">
        <v>54</v>
      </c>
      <c r="B59" s="5">
        <v>0</v>
      </c>
      <c r="C59" s="5">
        <v>40602</v>
      </c>
      <c r="D59" s="5">
        <v>30976</v>
      </c>
    </row>
    <row r="60" spans="1:4" x14ac:dyDescent="0.25">
      <c r="A60" s="4" t="s">
        <v>55</v>
      </c>
      <c r="B60" s="5">
        <v>0</v>
      </c>
      <c r="C60" s="5">
        <v>0</v>
      </c>
      <c r="D60" s="5">
        <v>0</v>
      </c>
    </row>
    <row r="61" spans="1:4" x14ac:dyDescent="0.25">
      <c r="A61" s="8" t="s">
        <v>42</v>
      </c>
      <c r="B61" s="9">
        <v>10</v>
      </c>
      <c r="C61" s="9">
        <v>72618</v>
      </c>
      <c r="D61" s="9">
        <v>78462</v>
      </c>
    </row>
    <row r="62" spans="1:4" x14ac:dyDescent="0.25">
      <c r="A62" s="6" t="s">
        <v>43</v>
      </c>
      <c r="B62" s="7">
        <v>0</v>
      </c>
      <c r="C62" s="7">
        <v>9835</v>
      </c>
      <c r="D62" s="7">
        <v>5901</v>
      </c>
    </row>
    <row r="63" spans="1:4" x14ac:dyDescent="0.25">
      <c r="A63" s="8" t="s">
        <v>44</v>
      </c>
      <c r="B63" s="9">
        <v>0</v>
      </c>
      <c r="C63" s="9">
        <v>0</v>
      </c>
      <c r="D63" s="9">
        <v>0</v>
      </c>
    </row>
    <row r="64" spans="1:4" x14ac:dyDescent="0.25">
      <c r="A64" s="6" t="s">
        <v>45</v>
      </c>
      <c r="B64" s="7">
        <v>13</v>
      </c>
      <c r="C64" s="7">
        <v>9835</v>
      </c>
      <c r="D64" s="7">
        <v>5901</v>
      </c>
    </row>
    <row r="65" spans="1:4" x14ac:dyDescent="0.25">
      <c r="A65" s="8" t="s">
        <v>46</v>
      </c>
      <c r="B65" s="9">
        <v>0</v>
      </c>
      <c r="C65" s="9">
        <v>0</v>
      </c>
      <c r="D65" s="9">
        <v>0</v>
      </c>
    </row>
    <row r="66" spans="1:4" x14ac:dyDescent="0.25">
      <c r="A66" s="6" t="s">
        <v>56</v>
      </c>
      <c r="B66" s="7">
        <v>0</v>
      </c>
      <c r="C66" s="7">
        <v>0</v>
      </c>
      <c r="D66" s="7">
        <v>0</v>
      </c>
    </row>
    <row r="67" spans="1:4" x14ac:dyDescent="0.25">
      <c r="A67" s="8" t="s">
        <v>48</v>
      </c>
      <c r="B67" s="9">
        <v>0</v>
      </c>
      <c r="C67" s="9">
        <v>0</v>
      </c>
      <c r="D67" s="9">
        <v>0</v>
      </c>
    </row>
    <row r="68" spans="1:4" x14ac:dyDescent="0.25">
      <c r="A68" s="6" t="s">
        <v>49</v>
      </c>
      <c r="B68" s="7">
        <v>0</v>
      </c>
      <c r="C68" s="7">
        <v>0</v>
      </c>
      <c r="D68" s="7">
        <v>0</v>
      </c>
    </row>
    <row r="69" spans="1:4" x14ac:dyDescent="0.25">
      <c r="A69" s="8" t="s">
        <v>57</v>
      </c>
      <c r="B69" s="9">
        <v>14</v>
      </c>
      <c r="C69" s="9">
        <v>9803</v>
      </c>
      <c r="D69" s="9">
        <v>9396</v>
      </c>
    </row>
    <row r="70" spans="1:4" x14ac:dyDescent="0.25">
      <c r="A70" s="6" t="s">
        <v>58</v>
      </c>
      <c r="B70" s="7">
        <v>0</v>
      </c>
      <c r="C70" s="7">
        <v>0</v>
      </c>
      <c r="D70" s="7">
        <v>0</v>
      </c>
    </row>
    <row r="71" spans="1:4" x14ac:dyDescent="0.25">
      <c r="A71" s="4" t="s">
        <v>59</v>
      </c>
      <c r="B71" s="5">
        <v>0</v>
      </c>
      <c r="C71" s="5">
        <v>92256</v>
      </c>
      <c r="D71" s="5">
        <v>93759</v>
      </c>
    </row>
    <row r="72" spans="1:4" x14ac:dyDescent="0.25">
      <c r="A72" s="4" t="s">
        <v>60</v>
      </c>
      <c r="B72" s="5">
        <v>0</v>
      </c>
      <c r="C72" s="5">
        <v>132858</v>
      </c>
      <c r="D72" s="5">
        <v>124735</v>
      </c>
    </row>
    <row r="73" spans="1:4" x14ac:dyDescent="0.25">
      <c r="A73" s="4" t="s">
        <v>61</v>
      </c>
      <c r="B73" s="5">
        <v>0</v>
      </c>
      <c r="C73" s="5">
        <v>0</v>
      </c>
      <c r="D73" s="5">
        <v>0</v>
      </c>
    </row>
    <row r="74" spans="1:4" x14ac:dyDescent="0.25">
      <c r="A74" s="6" t="s">
        <v>62</v>
      </c>
      <c r="B74" s="7">
        <v>15</v>
      </c>
      <c r="C74" s="7">
        <v>61450</v>
      </c>
      <c r="D74" s="7">
        <v>61450</v>
      </c>
    </row>
    <row r="75" spans="1:4" x14ac:dyDescent="0.25">
      <c r="A75" s="8" t="s">
        <v>63</v>
      </c>
      <c r="B75" s="9">
        <v>0</v>
      </c>
      <c r="C75" s="9">
        <v>0</v>
      </c>
      <c r="D75" s="9">
        <v>0</v>
      </c>
    </row>
    <row r="76" spans="1:4" x14ac:dyDescent="0.25">
      <c r="A76" s="6" t="s">
        <v>64</v>
      </c>
      <c r="B76" s="7">
        <v>0</v>
      </c>
      <c r="C76" s="7">
        <v>0</v>
      </c>
      <c r="D76" s="7">
        <v>0</v>
      </c>
    </row>
    <row r="77" spans="1:4" x14ac:dyDescent="0.25">
      <c r="A77" s="8" t="s">
        <v>65</v>
      </c>
      <c r="B77" s="9">
        <v>0</v>
      </c>
      <c r="C77" s="9">
        <v>0</v>
      </c>
      <c r="D77" s="9">
        <v>0</v>
      </c>
    </row>
    <row r="78" spans="1:4" x14ac:dyDescent="0.25">
      <c r="A78" s="6" t="s">
        <v>66</v>
      </c>
      <c r="B78" s="7">
        <v>0</v>
      </c>
      <c r="C78" s="7">
        <v>1737</v>
      </c>
      <c r="D78" s="7">
        <v>1665</v>
      </c>
    </row>
    <row r="79" spans="1:4" x14ac:dyDescent="0.25">
      <c r="A79" s="8" t="s">
        <v>67</v>
      </c>
      <c r="B79" s="9">
        <v>0</v>
      </c>
      <c r="C79" s="9">
        <v>35847</v>
      </c>
      <c r="D79" s="9">
        <v>33319</v>
      </c>
    </row>
    <row r="80" spans="1:4" x14ac:dyDescent="0.25">
      <c r="A80" s="6" t="s">
        <v>68</v>
      </c>
      <c r="B80" s="7">
        <v>0</v>
      </c>
      <c r="C80" s="7" t="s">
        <v>355</v>
      </c>
      <c r="D80" s="7" t="s">
        <v>70</v>
      </c>
    </row>
    <row r="81" spans="1:6" x14ac:dyDescent="0.25">
      <c r="A81" s="4" t="s">
        <v>71</v>
      </c>
      <c r="B81" s="5">
        <v>0</v>
      </c>
      <c r="C81" s="5">
        <v>95823</v>
      </c>
      <c r="D81" s="5">
        <v>92067</v>
      </c>
    </row>
    <row r="82" spans="1:6" x14ac:dyDescent="0.25">
      <c r="A82" s="4" t="s">
        <v>72</v>
      </c>
      <c r="B82" s="5">
        <v>0</v>
      </c>
      <c r="C82" s="5">
        <v>228681</v>
      </c>
      <c r="D82" s="5">
        <v>216802</v>
      </c>
    </row>
    <row r="85" spans="1:6" ht="15.75" x14ac:dyDescent="0.25">
      <c r="A85" s="2" t="s">
        <v>73</v>
      </c>
    </row>
    <row r="86" spans="1:6" x14ac:dyDescent="0.25">
      <c r="A86" s="3" t="s">
        <v>7</v>
      </c>
      <c r="B86" s="3" t="s">
        <v>8</v>
      </c>
      <c r="C86" s="3" t="s">
        <v>356</v>
      </c>
      <c r="D86" s="3" t="s">
        <v>357</v>
      </c>
      <c r="E86" s="3" t="s">
        <v>358</v>
      </c>
      <c r="F86" s="3" t="s">
        <v>359</v>
      </c>
    </row>
    <row r="87" spans="1:6" x14ac:dyDescent="0.25">
      <c r="A87" s="4" t="s">
        <v>78</v>
      </c>
      <c r="B87" s="5">
        <v>0</v>
      </c>
      <c r="C87" s="5">
        <v>43791</v>
      </c>
      <c r="D87" s="5">
        <v>38140</v>
      </c>
      <c r="E87" s="5">
        <v>110004</v>
      </c>
      <c r="F87" s="5">
        <v>96590</v>
      </c>
    </row>
    <row r="88" spans="1:6" x14ac:dyDescent="0.25">
      <c r="A88" s="6" t="s">
        <v>79</v>
      </c>
      <c r="B88" s="7">
        <v>0</v>
      </c>
      <c r="C88" s="7" t="s">
        <v>360</v>
      </c>
      <c r="D88" s="7" t="s">
        <v>361</v>
      </c>
      <c r="E88" s="7" t="s">
        <v>362</v>
      </c>
      <c r="F88" s="7" t="s">
        <v>363</v>
      </c>
    </row>
    <row r="89" spans="1:6" x14ac:dyDescent="0.25">
      <c r="A89" s="4" t="s">
        <v>82</v>
      </c>
      <c r="B89" s="5">
        <v>0</v>
      </c>
      <c r="C89" s="5">
        <v>18608</v>
      </c>
      <c r="D89" s="5">
        <v>16269</v>
      </c>
      <c r="E89" s="5">
        <v>41783</v>
      </c>
      <c r="F89" s="5">
        <v>38569</v>
      </c>
    </row>
    <row r="90" spans="1:6" x14ac:dyDescent="0.25">
      <c r="A90" s="6" t="s">
        <v>83</v>
      </c>
      <c r="B90" s="7">
        <v>0</v>
      </c>
      <c r="C90" s="7" t="s">
        <v>364</v>
      </c>
      <c r="D90" s="7" t="s">
        <v>365</v>
      </c>
      <c r="E90" s="7" t="s">
        <v>366</v>
      </c>
      <c r="F90" s="7" t="s">
        <v>367</v>
      </c>
    </row>
    <row r="91" spans="1:6" x14ac:dyDescent="0.25">
      <c r="A91" s="8" t="s">
        <v>86</v>
      </c>
      <c r="B91" s="9">
        <v>0</v>
      </c>
      <c r="C91" s="9" t="s">
        <v>368</v>
      </c>
      <c r="D91" s="9" t="s">
        <v>369</v>
      </c>
      <c r="E91" s="9" t="s">
        <v>370</v>
      </c>
      <c r="F91" s="9" t="s">
        <v>371</v>
      </c>
    </row>
    <row r="92" spans="1:6" x14ac:dyDescent="0.25">
      <c r="A92" s="6" t="s">
        <v>89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</row>
    <row r="93" spans="1:6" x14ac:dyDescent="0.25">
      <c r="A93" s="8" t="s">
        <v>90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</row>
    <row r="94" spans="1:6" x14ac:dyDescent="0.25">
      <c r="A94" s="6" t="s">
        <v>91</v>
      </c>
      <c r="B94" s="7">
        <v>0</v>
      </c>
      <c r="C94" s="7" t="s">
        <v>372</v>
      </c>
      <c r="D94" s="7" t="s">
        <v>373</v>
      </c>
      <c r="E94" s="7" t="s">
        <v>374</v>
      </c>
      <c r="F94" s="7" t="s">
        <v>375</v>
      </c>
    </row>
    <row r="95" spans="1:6" x14ac:dyDescent="0.25">
      <c r="A95" s="8" t="s">
        <v>94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</row>
    <row r="96" spans="1:6" x14ac:dyDescent="0.25">
      <c r="A96" s="4" t="s">
        <v>95</v>
      </c>
      <c r="B96" s="5">
        <v>0</v>
      </c>
      <c r="C96" s="5">
        <v>8185</v>
      </c>
      <c r="D96" s="5">
        <v>5738</v>
      </c>
      <c r="E96" s="5">
        <v>10390</v>
      </c>
      <c r="F96" s="5">
        <v>9018</v>
      </c>
    </row>
    <row r="97" spans="1:6" x14ac:dyDescent="0.25">
      <c r="A97" s="8" t="s">
        <v>97</v>
      </c>
      <c r="B97" s="9">
        <v>0</v>
      </c>
      <c r="C97" s="9">
        <v>117</v>
      </c>
      <c r="D97" s="9">
        <v>78</v>
      </c>
      <c r="E97" s="9">
        <v>346</v>
      </c>
      <c r="F97" s="9">
        <v>274</v>
      </c>
    </row>
    <row r="98" spans="1:6" x14ac:dyDescent="0.25">
      <c r="A98" s="6" t="s">
        <v>98</v>
      </c>
      <c r="B98" s="7">
        <v>0</v>
      </c>
      <c r="C98" s="7" t="s">
        <v>376</v>
      </c>
      <c r="D98" s="7" t="s">
        <v>377</v>
      </c>
      <c r="E98" s="7" t="s">
        <v>378</v>
      </c>
      <c r="F98" s="7" t="s">
        <v>379</v>
      </c>
    </row>
    <row r="99" spans="1:6" x14ac:dyDescent="0.25">
      <c r="A99" s="8" t="s">
        <v>101</v>
      </c>
      <c r="B99" s="9">
        <v>0</v>
      </c>
      <c r="C99" s="9" t="s">
        <v>380</v>
      </c>
      <c r="D99" s="9" t="s">
        <v>381</v>
      </c>
      <c r="E99" s="9" t="s">
        <v>372</v>
      </c>
      <c r="F99" s="9" t="s">
        <v>382</v>
      </c>
    </row>
    <row r="100" spans="1:6" x14ac:dyDescent="0.25">
      <c r="A100" s="6" t="s">
        <v>103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</row>
    <row r="101" spans="1:6" x14ac:dyDescent="0.25">
      <c r="A101" s="8" t="s">
        <v>104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105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</row>
    <row r="103" spans="1:6" x14ac:dyDescent="0.25">
      <c r="A103" s="4" t="s">
        <v>106</v>
      </c>
      <c r="B103" s="5">
        <v>0</v>
      </c>
      <c r="C103" s="5">
        <v>3412</v>
      </c>
      <c r="D103" s="5">
        <v>2630</v>
      </c>
      <c r="E103" s="5">
        <v>4765</v>
      </c>
      <c r="F103" s="5">
        <v>1181</v>
      </c>
    </row>
    <row r="104" spans="1:6" x14ac:dyDescent="0.25">
      <c r="A104" s="6" t="s">
        <v>109</v>
      </c>
      <c r="B104" s="7">
        <v>0</v>
      </c>
      <c r="C104" s="7" t="s">
        <v>383</v>
      </c>
      <c r="D104" s="7" t="s">
        <v>384</v>
      </c>
      <c r="E104" s="7" t="s">
        <v>383</v>
      </c>
      <c r="F104" s="7" t="s">
        <v>385</v>
      </c>
    </row>
    <row r="105" spans="1:6" x14ac:dyDescent="0.25">
      <c r="A105" s="8" t="s">
        <v>111</v>
      </c>
      <c r="B105" s="9">
        <v>0</v>
      </c>
      <c r="C105" s="9">
        <v>2917</v>
      </c>
      <c r="D105" s="9">
        <v>2550</v>
      </c>
      <c r="E105" s="9">
        <v>4270</v>
      </c>
      <c r="F105" s="9">
        <v>467</v>
      </c>
    </row>
    <row r="106" spans="1:6" x14ac:dyDescent="0.25">
      <c r="A106" s="6" t="s">
        <v>113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4" t="s">
        <v>114</v>
      </c>
      <c r="B107" s="5">
        <v>0</v>
      </c>
      <c r="C107" s="5">
        <v>2917</v>
      </c>
      <c r="D107" s="5">
        <v>2550</v>
      </c>
      <c r="E107" s="5">
        <v>4270</v>
      </c>
      <c r="F107" s="5">
        <v>467</v>
      </c>
    </row>
    <row r="108" spans="1:6" x14ac:dyDescent="0.25">
      <c r="A108" s="4" t="s">
        <v>115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</row>
    <row r="109" spans="1:6" x14ac:dyDescent="0.25">
      <c r="A109" s="4" t="s">
        <v>116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</row>
    <row r="110" spans="1:6" x14ac:dyDescent="0.25">
      <c r="A110" s="6" t="s">
        <v>117</v>
      </c>
      <c r="B110" s="7">
        <v>0</v>
      </c>
      <c r="C110" s="7">
        <v>4.7E-2</v>
      </c>
      <c r="D110" s="7">
        <v>4.1000000000000002E-2</v>
      </c>
      <c r="E110" s="7">
        <v>6.9000000000000006E-2</v>
      </c>
      <c r="F110" s="7">
        <v>8.0000000000000002E-3</v>
      </c>
    </row>
    <row r="111" spans="1:6" x14ac:dyDescent="0.25">
      <c r="A111" s="8" t="s">
        <v>120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</row>
    <row r="112" spans="1:6" x14ac:dyDescent="0.25">
      <c r="A112" s="6" t="s">
        <v>121</v>
      </c>
      <c r="B112" s="7">
        <v>0</v>
      </c>
      <c r="C112" s="7">
        <v>4.7E-2</v>
      </c>
      <c r="D112" s="7">
        <v>4.1000000000000002E-2</v>
      </c>
      <c r="E112" s="7">
        <v>6.9000000000000006E-2</v>
      </c>
      <c r="F112" s="7">
        <v>8.0000000000000002E-3</v>
      </c>
    </row>
    <row r="113" spans="1:17" x14ac:dyDescent="0.25">
      <c r="A113" s="8" t="s">
        <v>122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17" x14ac:dyDescent="0.25">
      <c r="A114" s="6" t="s">
        <v>123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</row>
    <row r="115" spans="1:17" x14ac:dyDescent="0.25">
      <c r="A115" s="8" t="s">
        <v>124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</row>
    <row r="116" spans="1:17" x14ac:dyDescent="0.25">
      <c r="A116" s="4" t="s">
        <v>125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17" x14ac:dyDescent="0.25">
      <c r="A117" s="8" t="s">
        <v>126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</row>
    <row r="118" spans="1:17" x14ac:dyDescent="0.25">
      <c r="A118" s="6" t="s">
        <v>127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17" x14ac:dyDescent="0.25">
      <c r="A119" s="8" t="s">
        <v>128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</row>
    <row r="120" spans="1:17" x14ac:dyDescent="0.25">
      <c r="A120" s="6" t="s">
        <v>129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17" x14ac:dyDescent="0.25">
      <c r="A121" s="8" t="s">
        <v>130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17" x14ac:dyDescent="0.25">
      <c r="A122" s="6" t="s">
        <v>131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5" spans="1:17" ht="15.75" x14ac:dyDescent="0.25">
      <c r="A125" s="2" t="s">
        <v>132</v>
      </c>
    </row>
    <row r="126" spans="1:17" x14ac:dyDescent="0.25">
      <c r="A126" s="3" t="s">
        <v>7</v>
      </c>
      <c r="B126" s="3" t="s">
        <v>62</v>
      </c>
      <c r="C126" s="3" t="s">
        <v>63</v>
      </c>
      <c r="D126" s="3" t="s">
        <v>64</v>
      </c>
      <c r="E126" s="3" t="s">
        <v>65</v>
      </c>
      <c r="F126" s="3" t="s">
        <v>66</v>
      </c>
      <c r="G126" s="3" t="s">
        <v>67</v>
      </c>
      <c r="H126" s="3" t="s">
        <v>133</v>
      </c>
      <c r="I126" s="3" t="s">
        <v>134</v>
      </c>
      <c r="J126" s="3" t="s">
        <v>135</v>
      </c>
      <c r="K126" s="3" t="s">
        <v>136</v>
      </c>
      <c r="L126" s="3" t="s">
        <v>137</v>
      </c>
      <c r="M126" s="3" t="s">
        <v>138</v>
      </c>
      <c r="N126" s="3" t="s">
        <v>139</v>
      </c>
      <c r="O126" s="3" t="s">
        <v>140</v>
      </c>
      <c r="P126" s="3" t="s">
        <v>68</v>
      </c>
      <c r="Q126" s="3" t="s">
        <v>71</v>
      </c>
    </row>
    <row r="127" spans="1:17" x14ac:dyDescent="0.25">
      <c r="A127" s="8" t="s">
        <v>141</v>
      </c>
      <c r="B127" s="9">
        <v>61450</v>
      </c>
      <c r="C127" s="9">
        <v>0</v>
      </c>
      <c r="D127" s="9">
        <v>0</v>
      </c>
      <c r="E127" s="9">
        <v>0</v>
      </c>
      <c r="F127" s="9">
        <v>1370</v>
      </c>
      <c r="G127" s="9">
        <v>34383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 t="s">
        <v>142</v>
      </c>
      <c r="P127" s="9" t="s">
        <v>142</v>
      </c>
      <c r="Q127" s="9">
        <v>94044</v>
      </c>
    </row>
    <row r="128" spans="1:17" x14ac:dyDescent="0.25">
      <c r="A128" s="6" t="s">
        <v>143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</row>
    <row r="129" spans="1:17" x14ac:dyDescent="0.25">
      <c r="A129" s="8" t="s">
        <v>144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</row>
    <row r="130" spans="1:17" x14ac:dyDescent="0.25">
      <c r="A130" s="6" t="s">
        <v>145</v>
      </c>
      <c r="B130" s="7">
        <v>61450</v>
      </c>
      <c r="C130" s="7">
        <v>0</v>
      </c>
      <c r="D130" s="7">
        <v>0</v>
      </c>
      <c r="E130" s="7">
        <v>0</v>
      </c>
      <c r="F130" s="7">
        <v>1370</v>
      </c>
      <c r="G130" s="7">
        <v>34383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 t="s">
        <v>142</v>
      </c>
      <c r="P130" s="7" t="s">
        <v>142</v>
      </c>
      <c r="Q130" s="7">
        <v>94044</v>
      </c>
    </row>
    <row r="131" spans="1:17" x14ac:dyDescent="0.25">
      <c r="A131" s="8" t="s">
        <v>146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</row>
    <row r="132" spans="1:17" x14ac:dyDescent="0.25">
      <c r="A132" s="6" t="s">
        <v>147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</row>
    <row r="133" spans="1:17" x14ac:dyDescent="0.25">
      <c r="A133" s="8" t="s">
        <v>148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467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467</v>
      </c>
    </row>
    <row r="134" spans="1:17" x14ac:dyDescent="0.25">
      <c r="A134" s="6" t="s">
        <v>149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 t="s">
        <v>386</v>
      </c>
      <c r="P134" s="7" t="s">
        <v>386</v>
      </c>
      <c r="Q134" s="7" t="s">
        <v>386</v>
      </c>
    </row>
    <row r="135" spans="1:17" x14ac:dyDescent="0.25">
      <c r="A135" s="8" t="s">
        <v>151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467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 t="s">
        <v>386</v>
      </c>
      <c r="P135" s="9" t="s">
        <v>386</v>
      </c>
      <c r="Q135" s="9" t="s">
        <v>387</v>
      </c>
    </row>
    <row r="136" spans="1:17" x14ac:dyDescent="0.25">
      <c r="A136" s="6" t="s">
        <v>153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 t="s">
        <v>388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 t="s">
        <v>388</v>
      </c>
    </row>
    <row r="137" spans="1:17" x14ac:dyDescent="0.25">
      <c r="A137" s="8" t="s">
        <v>154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</row>
    <row r="138" spans="1:17" x14ac:dyDescent="0.25">
      <c r="A138" s="6" t="s">
        <v>155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</row>
    <row r="139" spans="1:17" x14ac:dyDescent="0.25">
      <c r="A139" s="8" t="s">
        <v>156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</row>
    <row r="140" spans="1:17" x14ac:dyDescent="0.25">
      <c r="A140" s="6" t="s">
        <v>157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</row>
    <row r="141" spans="1:17" x14ac:dyDescent="0.25">
      <c r="A141" s="8" t="s">
        <v>158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</row>
    <row r="142" spans="1:17" x14ac:dyDescent="0.25">
      <c r="A142" s="6" t="s">
        <v>159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</row>
    <row r="143" spans="1:17" x14ac:dyDescent="0.25">
      <c r="A143" s="8" t="s">
        <v>160</v>
      </c>
      <c r="B143" s="9">
        <v>0</v>
      </c>
      <c r="C143" s="9">
        <v>0</v>
      </c>
      <c r="D143" s="9">
        <v>0</v>
      </c>
      <c r="E143" s="9">
        <v>0</v>
      </c>
      <c r="F143" s="9">
        <v>295</v>
      </c>
      <c r="G143" s="9" t="s">
        <v>372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</row>
    <row r="144" spans="1:17" x14ac:dyDescent="0.25">
      <c r="A144" s="6" t="s">
        <v>161</v>
      </c>
      <c r="B144" s="7">
        <v>0</v>
      </c>
      <c r="C144" s="7">
        <v>0</v>
      </c>
      <c r="D144" s="7">
        <v>0</v>
      </c>
      <c r="E144" s="7">
        <v>0</v>
      </c>
      <c r="F144" s="7">
        <v>295</v>
      </c>
      <c r="G144" s="7" t="s">
        <v>389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 t="s">
        <v>386</v>
      </c>
      <c r="P144" s="7" t="s">
        <v>386</v>
      </c>
      <c r="Q144" s="7" t="s">
        <v>390</v>
      </c>
    </row>
    <row r="145" spans="1:17" x14ac:dyDescent="0.25">
      <c r="A145" s="8" t="s">
        <v>391</v>
      </c>
      <c r="B145" s="9">
        <v>61450</v>
      </c>
      <c r="C145" s="9">
        <v>0</v>
      </c>
      <c r="D145" s="9">
        <v>0</v>
      </c>
      <c r="E145" s="9">
        <v>0</v>
      </c>
      <c r="F145" s="9">
        <v>1665</v>
      </c>
      <c r="G145" s="9">
        <v>33075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 t="s">
        <v>392</v>
      </c>
      <c r="P145" s="9" t="s">
        <v>392</v>
      </c>
      <c r="Q145" s="9">
        <v>92073</v>
      </c>
    </row>
    <row r="146" spans="1:17" x14ac:dyDescent="0.25">
      <c r="A146" s="6" t="s">
        <v>164</v>
      </c>
      <c r="B146" s="7">
        <v>61450</v>
      </c>
      <c r="C146" s="7">
        <v>0</v>
      </c>
      <c r="D146" s="7">
        <v>0</v>
      </c>
      <c r="E146" s="7">
        <v>0</v>
      </c>
      <c r="F146" s="7">
        <v>1665</v>
      </c>
      <c r="G146" s="7">
        <v>33319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 t="s">
        <v>70</v>
      </c>
      <c r="P146" s="7" t="s">
        <v>70</v>
      </c>
      <c r="Q146" s="7">
        <v>92067</v>
      </c>
    </row>
    <row r="147" spans="1:17" x14ac:dyDescent="0.25">
      <c r="A147" s="8" t="s">
        <v>143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</row>
    <row r="148" spans="1:17" x14ac:dyDescent="0.25">
      <c r="A148" s="6" t="s">
        <v>144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</row>
    <row r="149" spans="1:17" x14ac:dyDescent="0.25">
      <c r="A149" s="8" t="s">
        <v>145</v>
      </c>
      <c r="B149" s="9">
        <v>61450</v>
      </c>
      <c r="C149" s="9">
        <v>0</v>
      </c>
      <c r="D149" s="9">
        <v>0</v>
      </c>
      <c r="E149" s="9">
        <v>0</v>
      </c>
      <c r="F149" s="9">
        <v>1665</v>
      </c>
      <c r="G149" s="9">
        <v>33319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 t="s">
        <v>70</v>
      </c>
      <c r="P149" s="9" t="s">
        <v>70</v>
      </c>
      <c r="Q149" s="9">
        <v>92067</v>
      </c>
    </row>
    <row r="150" spans="1:17" x14ac:dyDescent="0.25">
      <c r="A150" s="6" t="s">
        <v>146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</row>
    <row r="151" spans="1:17" x14ac:dyDescent="0.25">
      <c r="A151" s="8" t="s">
        <v>147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</row>
    <row r="152" spans="1:17" x14ac:dyDescent="0.25">
      <c r="A152" s="6" t="s">
        <v>148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4270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4270</v>
      </c>
    </row>
    <row r="153" spans="1:17" x14ac:dyDescent="0.25">
      <c r="A153" s="8" t="s">
        <v>149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1156</v>
      </c>
      <c r="P153" s="9">
        <v>1156</v>
      </c>
      <c r="Q153" s="9">
        <v>1156</v>
      </c>
    </row>
    <row r="154" spans="1:17" x14ac:dyDescent="0.25">
      <c r="A154" s="6" t="s">
        <v>151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4270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1156</v>
      </c>
      <c r="P154" s="7">
        <v>1156</v>
      </c>
      <c r="Q154" s="7">
        <v>5426</v>
      </c>
    </row>
    <row r="155" spans="1:17" x14ac:dyDescent="0.25">
      <c r="A155" s="8" t="s">
        <v>153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 t="s">
        <v>322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 t="s">
        <v>322</v>
      </c>
    </row>
    <row r="156" spans="1:17" x14ac:dyDescent="0.25">
      <c r="A156" s="6" t="s">
        <v>154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</row>
    <row r="157" spans="1:17" x14ac:dyDescent="0.25">
      <c r="A157" s="8" t="s">
        <v>155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</row>
    <row r="158" spans="1:17" x14ac:dyDescent="0.25">
      <c r="A158" s="6" t="s">
        <v>156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</row>
    <row r="159" spans="1:17" x14ac:dyDescent="0.25">
      <c r="A159" s="8" t="s">
        <v>157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</row>
    <row r="160" spans="1:17" x14ac:dyDescent="0.25">
      <c r="A160" s="6" t="s">
        <v>158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</row>
    <row r="161" spans="1:17" x14ac:dyDescent="0.25">
      <c r="A161" s="8" t="s">
        <v>159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</row>
    <row r="162" spans="1:17" x14ac:dyDescent="0.25">
      <c r="A162" s="6" t="s">
        <v>160</v>
      </c>
      <c r="B162" s="7">
        <v>0</v>
      </c>
      <c r="C162" s="7">
        <v>0</v>
      </c>
      <c r="D162" s="7">
        <v>0</v>
      </c>
      <c r="E162" s="7">
        <v>0</v>
      </c>
      <c r="F162" s="7">
        <v>72</v>
      </c>
      <c r="G162" s="7" t="s">
        <v>323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</row>
    <row r="163" spans="1:17" x14ac:dyDescent="0.25">
      <c r="A163" s="8" t="s">
        <v>161</v>
      </c>
      <c r="B163" s="9">
        <v>0</v>
      </c>
      <c r="C163" s="9">
        <v>0</v>
      </c>
      <c r="D163" s="9">
        <v>0</v>
      </c>
      <c r="E163" s="9">
        <v>0</v>
      </c>
      <c r="F163" s="9">
        <v>72</v>
      </c>
      <c r="G163" s="9">
        <v>2528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1156</v>
      </c>
      <c r="P163" s="9">
        <v>1156</v>
      </c>
      <c r="Q163" s="9">
        <v>3756</v>
      </c>
    </row>
    <row r="164" spans="1:17" x14ac:dyDescent="0.25">
      <c r="A164" s="6" t="s">
        <v>393</v>
      </c>
      <c r="B164" s="7">
        <v>61450</v>
      </c>
      <c r="C164" s="7">
        <v>0</v>
      </c>
      <c r="D164" s="7">
        <v>0</v>
      </c>
      <c r="E164" s="7">
        <v>0</v>
      </c>
      <c r="F164" s="7">
        <v>1737</v>
      </c>
      <c r="G164" s="7">
        <v>35847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 t="s">
        <v>355</v>
      </c>
      <c r="P164" s="7" t="s">
        <v>355</v>
      </c>
      <c r="Q164" s="7">
        <v>95823</v>
      </c>
    </row>
    <row r="167" spans="1:17" ht="15.75" x14ac:dyDescent="0.25">
      <c r="A167" s="2" t="s">
        <v>167</v>
      </c>
    </row>
    <row r="168" spans="1:17" x14ac:dyDescent="0.25">
      <c r="A168" s="3" t="s">
        <v>7</v>
      </c>
      <c r="B168" s="3" t="s">
        <v>8</v>
      </c>
      <c r="C168" s="3" t="s">
        <v>394</v>
      </c>
      <c r="D168" s="3" t="s">
        <v>395</v>
      </c>
    </row>
    <row r="169" spans="1:17" x14ac:dyDescent="0.25">
      <c r="A169" s="4" t="s">
        <v>170</v>
      </c>
      <c r="B169" s="5">
        <v>0</v>
      </c>
      <c r="C169" s="5">
        <v>0</v>
      </c>
      <c r="D169" s="5">
        <v>0</v>
      </c>
    </row>
    <row r="170" spans="1:17" x14ac:dyDescent="0.25">
      <c r="A170" s="4" t="s">
        <v>171</v>
      </c>
      <c r="B170" s="5">
        <v>0</v>
      </c>
      <c r="C170" s="5">
        <v>0</v>
      </c>
      <c r="D170" s="5">
        <v>0</v>
      </c>
    </row>
    <row r="171" spans="1:17" x14ac:dyDescent="0.25">
      <c r="A171" s="8" t="s">
        <v>172</v>
      </c>
      <c r="B171" s="9">
        <v>0</v>
      </c>
      <c r="C171" s="9">
        <v>102724</v>
      </c>
      <c r="D171" s="9">
        <v>92463</v>
      </c>
    </row>
    <row r="172" spans="1:17" x14ac:dyDescent="0.25">
      <c r="A172" s="6" t="s">
        <v>173</v>
      </c>
      <c r="B172" s="7">
        <v>0</v>
      </c>
      <c r="C172" s="7">
        <v>0</v>
      </c>
      <c r="D172" s="7">
        <v>0</v>
      </c>
    </row>
    <row r="173" spans="1:17" x14ac:dyDescent="0.25">
      <c r="A173" s="8" t="s">
        <v>174</v>
      </c>
      <c r="B173" s="9">
        <v>0</v>
      </c>
      <c r="C173" s="9">
        <v>0</v>
      </c>
      <c r="D173" s="9">
        <v>0</v>
      </c>
    </row>
    <row r="174" spans="1:17" x14ac:dyDescent="0.25">
      <c r="A174" s="6" t="s">
        <v>175</v>
      </c>
      <c r="B174" s="7">
        <v>0</v>
      </c>
      <c r="C174" s="7">
        <v>0</v>
      </c>
      <c r="D174" s="7">
        <v>0</v>
      </c>
    </row>
    <row r="175" spans="1:17" x14ac:dyDescent="0.25">
      <c r="A175" s="8" t="s">
        <v>176</v>
      </c>
      <c r="B175" s="9">
        <v>0</v>
      </c>
      <c r="C175" s="9">
        <v>1501</v>
      </c>
      <c r="D175" s="9">
        <v>1097</v>
      </c>
    </row>
    <row r="176" spans="1:17" x14ac:dyDescent="0.25">
      <c r="A176" s="4" t="s">
        <v>177</v>
      </c>
      <c r="B176" s="5">
        <v>0</v>
      </c>
      <c r="C176" s="5">
        <v>0</v>
      </c>
      <c r="D176" s="5">
        <v>0</v>
      </c>
    </row>
    <row r="177" spans="1:4" x14ac:dyDescent="0.25">
      <c r="A177" s="8" t="s">
        <v>178</v>
      </c>
      <c r="B177" s="9">
        <v>0</v>
      </c>
      <c r="C177" s="9" t="s">
        <v>396</v>
      </c>
      <c r="D177" s="9" t="s">
        <v>397</v>
      </c>
    </row>
    <row r="178" spans="1:4" x14ac:dyDescent="0.25">
      <c r="A178" s="6" t="s">
        <v>174</v>
      </c>
      <c r="B178" s="7">
        <v>0</v>
      </c>
      <c r="C178" s="7">
        <v>0</v>
      </c>
      <c r="D178" s="7">
        <v>0</v>
      </c>
    </row>
    <row r="179" spans="1:4" x14ac:dyDescent="0.25">
      <c r="A179" s="8" t="s">
        <v>181</v>
      </c>
      <c r="B179" s="9">
        <v>0</v>
      </c>
      <c r="C179" s="9" t="s">
        <v>398</v>
      </c>
      <c r="D179" s="9" t="s">
        <v>399</v>
      </c>
    </row>
    <row r="180" spans="1:4" x14ac:dyDescent="0.25">
      <c r="A180" s="6" t="s">
        <v>184</v>
      </c>
      <c r="B180" s="7">
        <v>0</v>
      </c>
      <c r="C180" s="7">
        <v>0</v>
      </c>
      <c r="D180" s="7">
        <v>0</v>
      </c>
    </row>
    <row r="181" spans="1:4" x14ac:dyDescent="0.25">
      <c r="A181" s="8" t="s">
        <v>185</v>
      </c>
      <c r="B181" s="9">
        <v>0</v>
      </c>
      <c r="C181" s="9" t="s">
        <v>400</v>
      </c>
      <c r="D181" s="9" t="s">
        <v>401</v>
      </c>
    </row>
    <row r="182" spans="1:4" x14ac:dyDescent="0.25">
      <c r="A182" s="6" t="s">
        <v>188</v>
      </c>
      <c r="B182" s="7">
        <v>0</v>
      </c>
      <c r="C182" s="7">
        <v>19031</v>
      </c>
      <c r="D182" s="7">
        <v>9746</v>
      </c>
    </row>
    <row r="183" spans="1:4" x14ac:dyDescent="0.25">
      <c r="A183" s="8" t="s">
        <v>189</v>
      </c>
      <c r="B183" s="9">
        <v>0</v>
      </c>
      <c r="C183" s="9">
        <v>0</v>
      </c>
      <c r="D183" s="9">
        <v>0</v>
      </c>
    </row>
    <row r="184" spans="1:4" x14ac:dyDescent="0.25">
      <c r="A184" s="6" t="s">
        <v>190</v>
      </c>
      <c r="B184" s="7">
        <v>0</v>
      </c>
      <c r="C184" s="7">
        <v>0</v>
      </c>
      <c r="D184" s="7">
        <v>0</v>
      </c>
    </row>
    <row r="185" spans="1:4" x14ac:dyDescent="0.25">
      <c r="A185" s="8" t="s">
        <v>193</v>
      </c>
      <c r="B185" s="9">
        <v>0</v>
      </c>
      <c r="C185" s="9">
        <v>0</v>
      </c>
      <c r="D185" s="9">
        <v>0</v>
      </c>
    </row>
    <row r="186" spans="1:4" x14ac:dyDescent="0.25">
      <c r="A186" s="6" t="s">
        <v>194</v>
      </c>
      <c r="B186" s="7">
        <v>0</v>
      </c>
      <c r="C186" s="7">
        <v>0</v>
      </c>
      <c r="D186" s="7">
        <v>0</v>
      </c>
    </row>
    <row r="187" spans="1:4" x14ac:dyDescent="0.25">
      <c r="A187" s="8" t="s">
        <v>195</v>
      </c>
      <c r="B187" s="9">
        <v>0</v>
      </c>
      <c r="C187" s="9">
        <v>0</v>
      </c>
      <c r="D187" s="9">
        <v>0</v>
      </c>
    </row>
    <row r="188" spans="1:4" x14ac:dyDescent="0.25">
      <c r="A188" s="6" t="s">
        <v>196</v>
      </c>
      <c r="B188" s="7">
        <v>0</v>
      </c>
      <c r="C188" s="7">
        <v>0</v>
      </c>
      <c r="D188" s="7">
        <v>0</v>
      </c>
    </row>
    <row r="189" spans="1:4" x14ac:dyDescent="0.25">
      <c r="A189" s="4" t="s">
        <v>198</v>
      </c>
      <c r="B189" s="5">
        <v>0</v>
      </c>
      <c r="C189" s="5">
        <v>19031</v>
      </c>
      <c r="D189" s="5">
        <v>9746</v>
      </c>
    </row>
    <row r="190" spans="1:4" x14ac:dyDescent="0.25">
      <c r="A190" s="4" t="s">
        <v>200</v>
      </c>
      <c r="B190" s="5">
        <v>0</v>
      </c>
      <c r="C190" s="5">
        <v>0</v>
      </c>
      <c r="D190" s="5">
        <v>0</v>
      </c>
    </row>
    <row r="191" spans="1:4" x14ac:dyDescent="0.25">
      <c r="A191" s="4" t="s">
        <v>201</v>
      </c>
      <c r="B191" s="5">
        <v>0</v>
      </c>
      <c r="C191" s="5">
        <v>0</v>
      </c>
      <c r="D191" s="5">
        <v>0</v>
      </c>
    </row>
    <row r="192" spans="1:4" x14ac:dyDescent="0.25">
      <c r="A192" s="6" t="s">
        <v>202</v>
      </c>
      <c r="B192" s="7">
        <v>0</v>
      </c>
      <c r="C192" s="7">
        <v>0</v>
      </c>
      <c r="D192" s="7">
        <v>0</v>
      </c>
    </row>
    <row r="193" spans="1:4" x14ac:dyDescent="0.25">
      <c r="A193" s="8" t="s">
        <v>203</v>
      </c>
      <c r="B193" s="9">
        <v>0</v>
      </c>
      <c r="C193" s="9">
        <v>0</v>
      </c>
      <c r="D193" s="9">
        <v>0</v>
      </c>
    </row>
    <row r="194" spans="1:4" x14ac:dyDescent="0.25">
      <c r="A194" s="6" t="s">
        <v>204</v>
      </c>
      <c r="B194" s="7">
        <v>0</v>
      </c>
      <c r="C194" s="7">
        <v>617</v>
      </c>
      <c r="D194" s="7">
        <v>0</v>
      </c>
    </row>
    <row r="195" spans="1:4" x14ac:dyDescent="0.25">
      <c r="A195" s="8" t="s">
        <v>205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206</v>
      </c>
      <c r="B196" s="7">
        <v>0</v>
      </c>
      <c r="C196" s="7">
        <v>0</v>
      </c>
      <c r="D196" s="7">
        <v>0</v>
      </c>
    </row>
    <row r="197" spans="1:4" x14ac:dyDescent="0.25">
      <c r="A197" s="8" t="s">
        <v>207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208</v>
      </c>
      <c r="B198" s="7">
        <v>0</v>
      </c>
      <c r="C198" s="7">
        <v>0</v>
      </c>
      <c r="D198" s="7">
        <v>0</v>
      </c>
    </row>
    <row r="199" spans="1:4" x14ac:dyDescent="0.25">
      <c r="A199" s="8" t="s">
        <v>209</v>
      </c>
      <c r="B199" s="9">
        <v>0</v>
      </c>
      <c r="C199" s="9">
        <v>0</v>
      </c>
      <c r="D199" s="9">
        <v>0</v>
      </c>
    </row>
    <row r="200" spans="1:4" x14ac:dyDescent="0.25">
      <c r="A200" s="6" t="s">
        <v>210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211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212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213</v>
      </c>
      <c r="B203" s="9">
        <v>0</v>
      </c>
      <c r="C203" s="9">
        <v>0</v>
      </c>
      <c r="D203" s="9">
        <v>0</v>
      </c>
    </row>
    <row r="204" spans="1:4" x14ac:dyDescent="0.25">
      <c r="A204" s="4" t="s">
        <v>214</v>
      </c>
      <c r="B204" s="5">
        <v>0</v>
      </c>
      <c r="C204" s="5">
        <v>0</v>
      </c>
      <c r="D204" s="5">
        <v>0</v>
      </c>
    </row>
    <row r="205" spans="1:4" x14ac:dyDescent="0.25">
      <c r="A205" s="8" t="s">
        <v>215</v>
      </c>
      <c r="B205" s="9">
        <v>0</v>
      </c>
      <c r="C205" s="9">
        <v>0</v>
      </c>
      <c r="D205" s="9">
        <v>0</v>
      </c>
    </row>
    <row r="206" spans="1:4" x14ac:dyDescent="0.25">
      <c r="A206" s="6" t="s">
        <v>216</v>
      </c>
      <c r="B206" s="7">
        <v>0</v>
      </c>
      <c r="C206" s="7">
        <v>0</v>
      </c>
      <c r="D206" s="7">
        <v>0</v>
      </c>
    </row>
    <row r="207" spans="1:4" x14ac:dyDescent="0.25">
      <c r="A207" s="8" t="s">
        <v>217</v>
      </c>
      <c r="B207" s="9">
        <v>0</v>
      </c>
      <c r="C207" s="9">
        <v>0</v>
      </c>
      <c r="D207" s="9">
        <v>0</v>
      </c>
    </row>
    <row r="208" spans="1:4" x14ac:dyDescent="0.25">
      <c r="A208" s="6" t="s">
        <v>218</v>
      </c>
      <c r="B208" s="7">
        <v>0</v>
      </c>
      <c r="C208" s="7">
        <v>0</v>
      </c>
      <c r="D208" s="7">
        <v>0</v>
      </c>
    </row>
    <row r="209" spans="1:4" x14ac:dyDescent="0.25">
      <c r="A209" s="8" t="s">
        <v>206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219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220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221</v>
      </c>
      <c r="B212" s="7">
        <v>0</v>
      </c>
      <c r="C212" s="7" t="s">
        <v>402</v>
      </c>
      <c r="D212" s="7" t="s">
        <v>403</v>
      </c>
    </row>
    <row r="213" spans="1:4" x14ac:dyDescent="0.25">
      <c r="A213" s="8" t="s">
        <v>224</v>
      </c>
      <c r="B213" s="9">
        <v>0</v>
      </c>
      <c r="C213" s="9" t="s">
        <v>404</v>
      </c>
      <c r="D213" s="9" t="s">
        <v>405</v>
      </c>
    </row>
    <row r="214" spans="1:4" x14ac:dyDescent="0.25">
      <c r="A214" s="6" t="s">
        <v>227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195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228</v>
      </c>
      <c r="B216" s="7">
        <v>0</v>
      </c>
      <c r="C216" s="7">
        <v>0</v>
      </c>
      <c r="D216" s="7">
        <v>0</v>
      </c>
    </row>
    <row r="217" spans="1:4" x14ac:dyDescent="0.25">
      <c r="A217" s="4" t="s">
        <v>229</v>
      </c>
      <c r="B217" s="5">
        <v>0</v>
      </c>
      <c r="C217" s="5" t="s">
        <v>406</v>
      </c>
      <c r="D217" s="5" t="s">
        <v>407</v>
      </c>
    </row>
    <row r="218" spans="1:4" x14ac:dyDescent="0.25">
      <c r="A218" s="4" t="s">
        <v>232</v>
      </c>
      <c r="B218" s="5">
        <v>0</v>
      </c>
      <c r="C218" s="5">
        <v>0</v>
      </c>
      <c r="D218" s="5">
        <v>0</v>
      </c>
    </row>
    <row r="219" spans="1:4" x14ac:dyDescent="0.25">
      <c r="A219" s="4" t="s">
        <v>233</v>
      </c>
      <c r="B219" s="5">
        <v>0</v>
      </c>
      <c r="C219" s="5">
        <v>0</v>
      </c>
      <c r="D219" s="5">
        <v>0</v>
      </c>
    </row>
    <row r="220" spans="1:4" x14ac:dyDescent="0.25">
      <c r="A220" s="6" t="s">
        <v>234</v>
      </c>
      <c r="B220" s="7">
        <v>0</v>
      </c>
      <c r="C220" s="7">
        <v>6849</v>
      </c>
      <c r="D220" s="7">
        <v>92222</v>
      </c>
    </row>
    <row r="221" spans="1:4" x14ac:dyDescent="0.25">
      <c r="A221" s="8" t="s">
        <v>235</v>
      </c>
      <c r="B221" s="9">
        <v>0</v>
      </c>
      <c r="C221" s="9">
        <v>0</v>
      </c>
      <c r="D221" s="9">
        <v>0</v>
      </c>
    </row>
    <row r="222" spans="1:4" x14ac:dyDescent="0.25">
      <c r="A222" s="6" t="s">
        <v>236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237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238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211</v>
      </c>
      <c r="B225" s="9">
        <v>0</v>
      </c>
      <c r="C225" s="9">
        <v>0</v>
      </c>
      <c r="D225" s="9">
        <v>0</v>
      </c>
    </row>
    <row r="226" spans="1:4" x14ac:dyDescent="0.25">
      <c r="A226" s="4" t="s">
        <v>239</v>
      </c>
      <c r="B226" s="5">
        <v>0</v>
      </c>
      <c r="C226" s="5">
        <v>0</v>
      </c>
      <c r="D226" s="5">
        <v>0</v>
      </c>
    </row>
    <row r="227" spans="1:4" x14ac:dyDescent="0.25">
      <c r="A227" s="8" t="s">
        <v>240</v>
      </c>
      <c r="B227" s="9">
        <v>0</v>
      </c>
      <c r="C227" s="9" t="s">
        <v>408</v>
      </c>
      <c r="D227" s="9" t="s">
        <v>409</v>
      </c>
    </row>
    <row r="228" spans="1:4" x14ac:dyDescent="0.25">
      <c r="A228" s="6" t="s">
        <v>243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235</v>
      </c>
      <c r="B229" s="9">
        <v>0</v>
      </c>
      <c r="C229" s="9">
        <v>0</v>
      </c>
      <c r="D229" s="9">
        <v>0</v>
      </c>
    </row>
    <row r="230" spans="1:4" x14ac:dyDescent="0.25">
      <c r="A230" s="6" t="s">
        <v>236</v>
      </c>
      <c r="B230" s="7">
        <v>0</v>
      </c>
      <c r="C230" s="7">
        <v>0</v>
      </c>
      <c r="D230" s="7">
        <v>0</v>
      </c>
    </row>
    <row r="231" spans="1:4" x14ac:dyDescent="0.25">
      <c r="A231" s="8" t="s">
        <v>244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245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246</v>
      </c>
      <c r="B233" s="9">
        <v>0</v>
      </c>
      <c r="C233" s="9" t="s">
        <v>410</v>
      </c>
      <c r="D233" s="9" t="s">
        <v>411</v>
      </c>
    </row>
    <row r="234" spans="1:4" x14ac:dyDescent="0.25">
      <c r="A234" s="6" t="s">
        <v>247</v>
      </c>
      <c r="B234" s="7">
        <v>0</v>
      </c>
      <c r="C234" s="7" t="s">
        <v>412</v>
      </c>
      <c r="D234" s="7">
        <v>0</v>
      </c>
    </row>
    <row r="235" spans="1:4" x14ac:dyDescent="0.25">
      <c r="A235" s="8" t="s">
        <v>195</v>
      </c>
      <c r="B235" s="9">
        <v>0</v>
      </c>
      <c r="C235" s="9">
        <v>0</v>
      </c>
      <c r="D235" s="9">
        <v>0</v>
      </c>
    </row>
    <row r="236" spans="1:4" x14ac:dyDescent="0.25">
      <c r="A236" s="6" t="s">
        <v>248</v>
      </c>
      <c r="B236" s="7">
        <v>0</v>
      </c>
      <c r="C236" s="7">
        <v>0</v>
      </c>
      <c r="D236" s="7">
        <v>0</v>
      </c>
    </row>
    <row r="237" spans="1:4" x14ac:dyDescent="0.25">
      <c r="A237" s="4" t="s">
        <v>249</v>
      </c>
      <c r="B237" s="5">
        <v>0</v>
      </c>
      <c r="C237" s="5" t="s">
        <v>413</v>
      </c>
      <c r="D237" s="5">
        <v>23686</v>
      </c>
    </row>
    <row r="238" spans="1:4" x14ac:dyDescent="0.25">
      <c r="A238" s="6" t="s">
        <v>250</v>
      </c>
      <c r="B238" s="7">
        <v>0</v>
      </c>
      <c r="C238" s="7" t="s">
        <v>414</v>
      </c>
      <c r="D238" s="7">
        <v>17268</v>
      </c>
    </row>
    <row r="239" spans="1:4" x14ac:dyDescent="0.25">
      <c r="A239" s="8" t="s">
        <v>253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254</v>
      </c>
      <c r="B240" s="7">
        <v>0</v>
      </c>
      <c r="C240" s="7" t="s">
        <v>414</v>
      </c>
      <c r="D240" s="7">
        <v>17268</v>
      </c>
    </row>
    <row r="241" spans="1:6" x14ac:dyDescent="0.25">
      <c r="A241" s="8" t="s">
        <v>255</v>
      </c>
      <c r="B241" s="9">
        <v>3</v>
      </c>
      <c r="C241" s="9">
        <v>19673</v>
      </c>
      <c r="D241" s="9">
        <v>6179</v>
      </c>
    </row>
    <row r="242" spans="1:6" x14ac:dyDescent="0.25">
      <c r="A242" s="4" t="s">
        <v>256</v>
      </c>
      <c r="B242" s="5">
        <v>3</v>
      </c>
      <c r="C242" s="5">
        <v>2052</v>
      </c>
      <c r="D242" s="5">
        <v>23447</v>
      </c>
    </row>
    <row r="245" spans="1:6" ht="15.75" x14ac:dyDescent="0.25">
      <c r="A245" s="2" t="s">
        <v>257</v>
      </c>
    </row>
    <row r="246" spans="1:6" x14ac:dyDescent="0.25">
      <c r="A246" s="3" t="s">
        <v>7</v>
      </c>
      <c r="B246" s="3" t="s">
        <v>8</v>
      </c>
      <c r="C246" s="3" t="s">
        <v>356</v>
      </c>
      <c r="D246" s="3" t="s">
        <v>357</v>
      </c>
      <c r="E246" s="3" t="s">
        <v>358</v>
      </c>
      <c r="F246" s="3" t="s">
        <v>359</v>
      </c>
    </row>
    <row r="247" spans="1:6" x14ac:dyDescent="0.25">
      <c r="A247" s="8" t="s">
        <v>258</v>
      </c>
      <c r="B247" s="9">
        <v>0</v>
      </c>
      <c r="C247" s="9">
        <v>2917</v>
      </c>
      <c r="D247" s="9">
        <v>2550</v>
      </c>
      <c r="E247" s="9">
        <v>4270</v>
      </c>
      <c r="F247" s="9">
        <v>467</v>
      </c>
    </row>
    <row r="248" spans="1:6" x14ac:dyDescent="0.25">
      <c r="A248" s="4" t="s">
        <v>259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</row>
    <row r="249" spans="1:6" x14ac:dyDescent="0.25">
      <c r="A249" s="8" t="s">
        <v>260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</row>
    <row r="250" spans="1:6" x14ac:dyDescent="0.25">
      <c r="A250" s="6" t="s">
        <v>134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</row>
    <row r="251" spans="1:6" x14ac:dyDescent="0.25">
      <c r="A251" s="8" t="s">
        <v>261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</row>
    <row r="252" spans="1:6" x14ac:dyDescent="0.25">
      <c r="A252" s="6" t="s">
        <v>262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</row>
    <row r="253" spans="1:6" x14ac:dyDescent="0.25">
      <c r="A253" s="8" t="s">
        <v>263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</row>
    <row r="254" spans="1:6" x14ac:dyDescent="0.25">
      <c r="A254" s="6" t="s">
        <v>138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</row>
    <row r="255" spans="1:6" x14ac:dyDescent="0.25">
      <c r="A255" s="8" t="s">
        <v>264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</row>
    <row r="256" spans="1:6" x14ac:dyDescent="0.25">
      <c r="A256" s="6" t="s">
        <v>140</v>
      </c>
      <c r="B256" s="7">
        <v>0</v>
      </c>
      <c r="C256" s="7">
        <v>8</v>
      </c>
      <c r="D256" s="7" t="s">
        <v>415</v>
      </c>
      <c r="E256" s="7">
        <v>1562</v>
      </c>
      <c r="F256" s="7" t="s">
        <v>416</v>
      </c>
    </row>
    <row r="257" spans="1:6" x14ac:dyDescent="0.25">
      <c r="A257" s="4" t="s">
        <v>266</v>
      </c>
      <c r="B257" s="5">
        <v>0</v>
      </c>
      <c r="C257" s="5">
        <v>8</v>
      </c>
      <c r="D257" s="5" t="s">
        <v>415</v>
      </c>
      <c r="E257" s="5">
        <v>1562</v>
      </c>
      <c r="F257" s="5" t="s">
        <v>416</v>
      </c>
    </row>
    <row r="258" spans="1:6" x14ac:dyDescent="0.25">
      <c r="A258" s="4" t="s">
        <v>267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</row>
    <row r="259" spans="1:6" x14ac:dyDescent="0.25">
      <c r="A259" s="8" t="s">
        <v>260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</row>
    <row r="260" spans="1:6" x14ac:dyDescent="0.25">
      <c r="A260" s="6" t="s">
        <v>134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</row>
    <row r="261" spans="1:6" x14ac:dyDescent="0.25">
      <c r="A261" s="8" t="s">
        <v>261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</row>
    <row r="262" spans="1:6" x14ac:dyDescent="0.25">
      <c r="A262" s="6" t="s">
        <v>262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</row>
    <row r="263" spans="1:6" x14ac:dyDescent="0.25">
      <c r="A263" s="8" t="s">
        <v>263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</row>
    <row r="264" spans="1:6" x14ac:dyDescent="0.25">
      <c r="A264" s="6" t="s">
        <v>138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</row>
    <row r="265" spans="1:6" x14ac:dyDescent="0.25">
      <c r="A265" s="8" t="s">
        <v>264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</row>
    <row r="266" spans="1:6" x14ac:dyDescent="0.25">
      <c r="A266" s="6" t="s">
        <v>140</v>
      </c>
      <c r="B266" s="7">
        <v>0</v>
      </c>
      <c r="C266" s="7" t="s">
        <v>417</v>
      </c>
      <c r="D266" s="7">
        <v>113</v>
      </c>
      <c r="E266" s="7" t="s">
        <v>418</v>
      </c>
      <c r="F266" s="7">
        <v>337</v>
      </c>
    </row>
    <row r="267" spans="1:6" x14ac:dyDescent="0.25">
      <c r="A267" s="4" t="s">
        <v>269</v>
      </c>
      <c r="B267" s="5">
        <v>0</v>
      </c>
      <c r="C267" s="5" t="s">
        <v>417</v>
      </c>
      <c r="D267" s="5">
        <v>113</v>
      </c>
      <c r="E267" s="5" t="s">
        <v>418</v>
      </c>
      <c r="F267" s="5">
        <v>337</v>
      </c>
    </row>
    <row r="268" spans="1:6" x14ac:dyDescent="0.25">
      <c r="A268" s="4" t="s">
        <v>270</v>
      </c>
      <c r="B268" s="5">
        <v>0</v>
      </c>
      <c r="C268" s="5">
        <v>6</v>
      </c>
      <c r="D268" s="5" t="s">
        <v>419</v>
      </c>
      <c r="E268" s="5">
        <v>1156</v>
      </c>
      <c r="F268" s="5" t="s">
        <v>386</v>
      </c>
    </row>
    <row r="269" spans="1:6" x14ac:dyDescent="0.25">
      <c r="A269" s="4" t="s">
        <v>271</v>
      </c>
      <c r="B269" s="5">
        <v>0</v>
      </c>
      <c r="C269" s="5">
        <v>2923</v>
      </c>
      <c r="D269" s="5">
        <v>2220</v>
      </c>
      <c r="E269" s="5">
        <v>5426</v>
      </c>
      <c r="F269" s="5" t="s">
        <v>387</v>
      </c>
    </row>
    <row r="272" spans="1:6" ht="15.75" x14ac:dyDescent="0.25">
      <c r="A272" s="2" t="s">
        <v>272</v>
      </c>
    </row>
    <row r="273" spans="1:2" x14ac:dyDescent="0.25">
      <c r="A273" s="3" t="s">
        <v>273</v>
      </c>
      <c r="B273" s="3" t="s">
        <v>274</v>
      </c>
    </row>
    <row r="274" spans="1:2" x14ac:dyDescent="0.25">
      <c r="A274" s="4" t="s">
        <v>275</v>
      </c>
      <c r="B274" s="5"/>
    </row>
    <row r="275" spans="1:2" x14ac:dyDescent="0.25">
      <c r="A275" s="8" t="s">
        <v>276</v>
      </c>
      <c r="B275" s="10">
        <v>42674.418796296297</v>
      </c>
    </row>
    <row r="276" spans="1:2" x14ac:dyDescent="0.25">
      <c r="A276" s="6" t="s">
        <v>277</v>
      </c>
      <c r="B276" s="11">
        <v>42674.4168055556</v>
      </c>
    </row>
    <row r="277" spans="1:2" x14ac:dyDescent="0.25">
      <c r="A277" s="4" t="s">
        <v>278</v>
      </c>
      <c r="B277" s="5"/>
    </row>
    <row r="278" spans="1:2" x14ac:dyDescent="0.25">
      <c r="A278" s="6" t="s">
        <v>277</v>
      </c>
      <c r="B278" s="11">
        <v>42674.416990740698</v>
      </c>
    </row>
    <row r="279" spans="1:2" x14ac:dyDescent="0.25">
      <c r="A279" s="8" t="s">
        <v>276</v>
      </c>
      <c r="B279" s="10">
        <v>42674.419201388897</v>
      </c>
    </row>
    <row r="280" spans="1:2" x14ac:dyDescent="0.25">
      <c r="A280" s="4" t="s">
        <v>279</v>
      </c>
      <c r="B280" s="5"/>
    </row>
    <row r="281" spans="1:2" x14ac:dyDescent="0.25">
      <c r="A281" s="8" t="s">
        <v>276</v>
      </c>
      <c r="B281" s="10">
        <v>42674.419386574104</v>
      </c>
    </row>
    <row r="282" spans="1:2" x14ac:dyDescent="0.25">
      <c r="A282" s="6" t="s">
        <v>277</v>
      </c>
      <c r="B282" s="11">
        <v>42674.417175925897</v>
      </c>
    </row>
    <row r="283" spans="1:2" x14ac:dyDescent="0.25">
      <c r="A283" s="4" t="s">
        <v>280</v>
      </c>
      <c r="B283" s="5"/>
    </row>
    <row r="284" spans="1:2" x14ac:dyDescent="0.25">
      <c r="A284" s="6" t="s">
        <v>277</v>
      </c>
      <c r="B284" s="11">
        <v>42674.417361111096</v>
      </c>
    </row>
    <row r="285" spans="1:2" x14ac:dyDescent="0.25">
      <c r="A285" s="8" t="s">
        <v>276</v>
      </c>
      <c r="B285" s="10">
        <v>42674.419560185197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8B4E-728A-42F1-9D42-AC49235EA797}">
  <dimension ref="A1:Q285"/>
  <sheetViews>
    <sheetView topLeftCell="A222" workbookViewId="0">
      <selection activeCell="A182" sqref="A182"/>
    </sheetView>
  </sheetViews>
  <sheetFormatPr defaultRowHeight="15" x14ac:dyDescent="0.25"/>
  <cols>
    <col min="1" max="1" width="50.7109375" customWidth="1"/>
    <col min="2" max="2" width="16.140625" customWidth="1"/>
    <col min="3" max="4" width="51" customWidth="1"/>
    <col min="5" max="6" width="50.28515625" customWidth="1"/>
    <col min="7" max="7" width="22.5703125" customWidth="1"/>
    <col min="8" max="8" width="29.85546875" customWidth="1"/>
    <col min="9" max="9" width="52.140625" customWidth="1"/>
    <col min="10" max="10" width="63.42578125" customWidth="1"/>
    <col min="11" max="11" width="63.28515625" customWidth="1"/>
    <col min="12" max="12" width="60.140625" customWidth="1"/>
    <col min="13" max="13" width="23.85546875" customWidth="1"/>
    <col min="14" max="14" width="55.85546875" customWidth="1"/>
    <col min="15" max="15" width="95.5703125" customWidth="1"/>
    <col min="16" max="16" width="27.7109375" customWidth="1"/>
    <col min="17" max="17" width="16.42578125" customWidth="1"/>
  </cols>
  <sheetData>
    <row r="1" spans="1:4" ht="18.75" x14ac:dyDescent="0.3">
      <c r="A1" s="1" t="s">
        <v>0</v>
      </c>
    </row>
    <row r="2" spans="1:4" x14ac:dyDescent="0.25">
      <c r="A2" t="s">
        <v>420</v>
      </c>
    </row>
    <row r="3" spans="1:4" x14ac:dyDescent="0.25">
      <c r="A3" t="s">
        <v>2</v>
      </c>
    </row>
    <row r="4" spans="1:4" x14ac:dyDescent="0.25">
      <c r="A4" t="s">
        <v>421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422</v>
      </c>
      <c r="D9" s="3" t="s">
        <v>10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2392</v>
      </c>
      <c r="D12" s="7">
        <v>19673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15</v>
      </c>
      <c r="B14" s="7">
        <v>0</v>
      </c>
      <c r="C14" s="7">
        <v>20659</v>
      </c>
      <c r="D14" s="7">
        <v>14936</v>
      </c>
    </row>
    <row r="15" spans="1:4" x14ac:dyDescent="0.25">
      <c r="A15" s="8" t="s">
        <v>16</v>
      </c>
      <c r="B15" s="9">
        <v>4</v>
      </c>
      <c r="C15" s="9">
        <v>10950</v>
      </c>
      <c r="D15" s="9">
        <v>9158</v>
      </c>
    </row>
    <row r="16" spans="1:4" x14ac:dyDescent="0.25">
      <c r="A16" s="6" t="s">
        <v>17</v>
      </c>
      <c r="B16" s="7">
        <v>0</v>
      </c>
      <c r="C16" s="7">
        <v>8146</v>
      </c>
      <c r="D16" s="7">
        <v>4484</v>
      </c>
    </row>
    <row r="17" spans="1:4" x14ac:dyDescent="0.25">
      <c r="A17" s="8" t="s">
        <v>18</v>
      </c>
      <c r="B17" s="9">
        <v>0</v>
      </c>
      <c r="C17" s="9">
        <v>1563</v>
      </c>
      <c r="D17" s="9">
        <v>1294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1873</v>
      </c>
      <c r="D19" s="9">
        <v>1851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23</v>
      </c>
      <c r="B22" s="7">
        <v>6</v>
      </c>
      <c r="C22" s="7">
        <v>793</v>
      </c>
      <c r="D22" s="7">
        <v>4248</v>
      </c>
    </row>
    <row r="23" spans="1:4" x14ac:dyDescent="0.25">
      <c r="A23" s="8" t="s">
        <v>24</v>
      </c>
      <c r="B23" s="9">
        <v>0</v>
      </c>
      <c r="C23" s="9">
        <v>25717</v>
      </c>
      <c r="D23" s="9">
        <v>40708</v>
      </c>
    </row>
    <row r="24" spans="1:4" x14ac:dyDescent="0.25">
      <c r="A24" s="6" t="s">
        <v>25</v>
      </c>
      <c r="B24" s="7">
        <v>0</v>
      </c>
      <c r="C24" s="7">
        <v>0</v>
      </c>
      <c r="D24" s="7">
        <v>0</v>
      </c>
    </row>
    <row r="25" spans="1:4" x14ac:dyDescent="0.25">
      <c r="A25" s="8" t="s">
        <v>26</v>
      </c>
      <c r="B25" s="9">
        <v>0</v>
      </c>
      <c r="C25" s="9">
        <v>0</v>
      </c>
      <c r="D25" s="9">
        <v>0</v>
      </c>
    </row>
    <row r="26" spans="1:4" x14ac:dyDescent="0.25">
      <c r="A26" s="6" t="s">
        <v>27</v>
      </c>
      <c r="B26" s="7">
        <v>0</v>
      </c>
      <c r="C26" s="7">
        <v>0</v>
      </c>
      <c r="D26" s="7">
        <v>0</v>
      </c>
    </row>
    <row r="27" spans="1:4" x14ac:dyDescent="0.25">
      <c r="A27" s="4" t="s">
        <v>28</v>
      </c>
      <c r="B27" s="5">
        <v>0</v>
      </c>
      <c r="C27" s="5">
        <v>25717</v>
      </c>
      <c r="D27" s="5">
        <v>40708</v>
      </c>
    </row>
    <row r="28" spans="1:4" x14ac:dyDescent="0.25">
      <c r="A28" s="4" t="s">
        <v>29</v>
      </c>
      <c r="B28" s="5">
        <v>0</v>
      </c>
      <c r="C28" s="5">
        <v>0</v>
      </c>
      <c r="D28" s="5">
        <v>0</v>
      </c>
    </row>
    <row r="29" spans="1:4" x14ac:dyDescent="0.25">
      <c r="A29" s="8" t="s">
        <v>14</v>
      </c>
      <c r="B29" s="9">
        <v>0</v>
      </c>
      <c r="C29" s="9">
        <v>0</v>
      </c>
      <c r="D29" s="9">
        <v>0</v>
      </c>
    </row>
    <row r="30" spans="1:4" x14ac:dyDescent="0.25">
      <c r="A30" s="6" t="s">
        <v>30</v>
      </c>
      <c r="B30" s="7">
        <v>7</v>
      </c>
      <c r="C30" s="7">
        <v>12806</v>
      </c>
      <c r="D30" s="7">
        <v>12806</v>
      </c>
    </row>
    <row r="31" spans="1:4" x14ac:dyDescent="0.25">
      <c r="A31" s="8" t="s">
        <v>15</v>
      </c>
      <c r="B31" s="9">
        <v>0</v>
      </c>
      <c r="C31" s="9">
        <v>3628</v>
      </c>
      <c r="D31" s="9">
        <v>5120</v>
      </c>
    </row>
    <row r="32" spans="1:4" x14ac:dyDescent="0.25">
      <c r="A32" s="6" t="s">
        <v>31</v>
      </c>
      <c r="B32" s="7">
        <v>0</v>
      </c>
      <c r="C32" s="7">
        <v>0</v>
      </c>
      <c r="D32" s="7">
        <v>0</v>
      </c>
    </row>
    <row r="33" spans="1:4" x14ac:dyDescent="0.25">
      <c r="A33" s="8" t="s">
        <v>32</v>
      </c>
      <c r="B33" s="9">
        <v>0</v>
      </c>
      <c r="C33" s="9">
        <v>3314</v>
      </c>
      <c r="D33" s="9">
        <v>3988</v>
      </c>
    </row>
    <row r="34" spans="1:4" x14ac:dyDescent="0.25">
      <c r="A34" s="6" t="s">
        <v>18</v>
      </c>
      <c r="B34" s="7">
        <v>0</v>
      </c>
      <c r="C34" s="7">
        <v>314</v>
      </c>
      <c r="D34" s="7">
        <v>1132</v>
      </c>
    </row>
    <row r="35" spans="1:4" x14ac:dyDescent="0.25">
      <c r="A35" s="8" t="s">
        <v>19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34</v>
      </c>
      <c r="B38" s="7">
        <v>8</v>
      </c>
      <c r="C38" s="7">
        <v>178832</v>
      </c>
      <c r="D38" s="7">
        <v>155936</v>
      </c>
    </row>
    <row r="39" spans="1:4" x14ac:dyDescent="0.25">
      <c r="A39" s="8" t="s">
        <v>35</v>
      </c>
      <c r="B39" s="9">
        <v>9</v>
      </c>
      <c r="C39" s="9">
        <v>8010</v>
      </c>
      <c r="D39" s="9">
        <v>2232</v>
      </c>
    </row>
    <row r="40" spans="1:4" x14ac:dyDescent="0.25">
      <c r="A40" s="6" t="s">
        <v>36</v>
      </c>
      <c r="B40" s="7">
        <v>0</v>
      </c>
      <c r="C40" s="7">
        <v>0</v>
      </c>
      <c r="D40" s="7">
        <v>0</v>
      </c>
    </row>
    <row r="41" spans="1:4" x14ac:dyDescent="0.25">
      <c r="A41" s="8" t="s">
        <v>37</v>
      </c>
      <c r="B41" s="9">
        <v>0</v>
      </c>
      <c r="C41" s="9">
        <v>0</v>
      </c>
      <c r="D41" s="9">
        <v>0</v>
      </c>
    </row>
    <row r="42" spans="1:4" x14ac:dyDescent="0.25">
      <c r="A42" s="6" t="s">
        <v>23</v>
      </c>
      <c r="B42" s="7">
        <v>0</v>
      </c>
      <c r="C42" s="7">
        <v>0</v>
      </c>
      <c r="D42" s="7">
        <v>0</v>
      </c>
    </row>
    <row r="43" spans="1:4" x14ac:dyDescent="0.25">
      <c r="A43" s="4" t="s">
        <v>38</v>
      </c>
      <c r="B43" s="5">
        <v>0</v>
      </c>
      <c r="C43" s="5">
        <v>203276</v>
      </c>
      <c r="D43" s="5">
        <v>176094</v>
      </c>
    </row>
    <row r="44" spans="1:4" x14ac:dyDescent="0.25">
      <c r="A44" s="4" t="s">
        <v>39</v>
      </c>
      <c r="B44" s="5">
        <v>0</v>
      </c>
      <c r="C44" s="5">
        <v>228993</v>
      </c>
      <c r="D44" s="5">
        <v>216802</v>
      </c>
    </row>
    <row r="45" spans="1:4" x14ac:dyDescent="0.25">
      <c r="A45" s="4" t="s">
        <v>40</v>
      </c>
      <c r="B45" s="5">
        <v>0</v>
      </c>
      <c r="C45" s="5">
        <v>0</v>
      </c>
      <c r="D45" s="5">
        <v>0</v>
      </c>
    </row>
    <row r="46" spans="1:4" x14ac:dyDescent="0.25">
      <c r="A46" s="4" t="s">
        <v>41</v>
      </c>
      <c r="B46" s="5">
        <v>0</v>
      </c>
      <c r="C46" s="5">
        <v>0</v>
      </c>
      <c r="D46" s="5">
        <v>0</v>
      </c>
    </row>
    <row r="47" spans="1:4" x14ac:dyDescent="0.25">
      <c r="A47" s="8" t="s">
        <v>42</v>
      </c>
      <c r="B47" s="9">
        <v>10</v>
      </c>
      <c r="C47" s="9">
        <v>15484</v>
      </c>
      <c r="D47" s="9">
        <v>5930</v>
      </c>
    </row>
    <row r="48" spans="1:4" x14ac:dyDescent="0.25">
      <c r="A48" s="6" t="s">
        <v>43</v>
      </c>
      <c r="B48" s="7">
        <v>0</v>
      </c>
      <c r="C48" s="7">
        <v>25342</v>
      </c>
      <c r="D48" s="7">
        <v>25046</v>
      </c>
    </row>
    <row r="49" spans="1:4" x14ac:dyDescent="0.25">
      <c r="A49" s="8" t="s">
        <v>44</v>
      </c>
      <c r="B49" s="9">
        <v>11</v>
      </c>
      <c r="C49" s="9">
        <v>17691</v>
      </c>
      <c r="D49" s="9">
        <v>19269</v>
      </c>
    </row>
    <row r="50" spans="1:4" x14ac:dyDescent="0.25">
      <c r="A50" s="6" t="s">
        <v>45</v>
      </c>
      <c r="B50" s="7">
        <v>12</v>
      </c>
      <c r="C50" s="7">
        <v>7151</v>
      </c>
      <c r="D50" s="7">
        <v>5299</v>
      </c>
    </row>
    <row r="51" spans="1:4" x14ac:dyDescent="0.25">
      <c r="A51" s="8" t="s">
        <v>46</v>
      </c>
      <c r="B51" s="9">
        <v>0</v>
      </c>
      <c r="C51" s="9">
        <v>500</v>
      </c>
      <c r="D51" s="9">
        <v>478</v>
      </c>
    </row>
    <row r="52" spans="1:4" x14ac:dyDescent="0.25">
      <c r="A52" s="6" t="s">
        <v>47</v>
      </c>
      <c r="B52" s="7">
        <v>0</v>
      </c>
      <c r="C52" s="7">
        <v>0</v>
      </c>
      <c r="D52" s="7">
        <v>0</v>
      </c>
    </row>
    <row r="53" spans="1:4" x14ac:dyDescent="0.25">
      <c r="A53" s="8" t="s">
        <v>48</v>
      </c>
      <c r="B53" s="9">
        <v>0</v>
      </c>
      <c r="C53" s="9">
        <v>0</v>
      </c>
      <c r="D53" s="9">
        <v>0</v>
      </c>
    </row>
    <row r="54" spans="1:4" x14ac:dyDescent="0.25">
      <c r="A54" s="6" t="s">
        <v>49</v>
      </c>
      <c r="B54" s="7">
        <v>0</v>
      </c>
      <c r="C54" s="7">
        <v>0</v>
      </c>
      <c r="D54" s="7">
        <v>0</v>
      </c>
    </row>
    <row r="55" spans="1:4" x14ac:dyDescent="0.25">
      <c r="A55" s="8" t="s">
        <v>50</v>
      </c>
      <c r="B55" s="9">
        <v>0</v>
      </c>
      <c r="C55" s="9">
        <v>0</v>
      </c>
      <c r="D55" s="9">
        <v>0</v>
      </c>
    </row>
    <row r="56" spans="1:4" x14ac:dyDescent="0.25">
      <c r="A56" s="6" t="s">
        <v>51</v>
      </c>
      <c r="B56" s="7">
        <v>0</v>
      </c>
      <c r="C56" s="7">
        <v>0</v>
      </c>
      <c r="D56" s="7">
        <v>0</v>
      </c>
    </row>
    <row r="57" spans="1:4" x14ac:dyDescent="0.25">
      <c r="A57" s="8" t="s">
        <v>52</v>
      </c>
      <c r="B57" s="9">
        <v>0</v>
      </c>
      <c r="C57" s="9">
        <v>40826</v>
      </c>
      <c r="D57" s="9">
        <v>30976</v>
      </c>
    </row>
    <row r="58" spans="1:4" x14ac:dyDescent="0.25">
      <c r="A58" s="6" t="s">
        <v>53</v>
      </c>
      <c r="B58" s="7">
        <v>0</v>
      </c>
      <c r="C58" s="7">
        <v>0</v>
      </c>
      <c r="D58" s="7">
        <v>0</v>
      </c>
    </row>
    <row r="59" spans="1:4" x14ac:dyDescent="0.25">
      <c r="A59" s="4" t="s">
        <v>54</v>
      </c>
      <c r="B59" s="5">
        <v>0</v>
      </c>
      <c r="C59" s="5">
        <v>40826</v>
      </c>
      <c r="D59" s="5">
        <v>30976</v>
      </c>
    </row>
    <row r="60" spans="1:4" x14ac:dyDescent="0.25">
      <c r="A60" s="4" t="s">
        <v>55</v>
      </c>
      <c r="B60" s="5">
        <v>0</v>
      </c>
      <c r="C60" s="5">
        <v>0</v>
      </c>
      <c r="D60" s="5">
        <v>0</v>
      </c>
    </row>
    <row r="61" spans="1:4" x14ac:dyDescent="0.25">
      <c r="A61" s="8" t="s">
        <v>42</v>
      </c>
      <c r="B61" s="9">
        <v>10</v>
      </c>
      <c r="C61" s="9">
        <v>70801</v>
      </c>
      <c r="D61" s="9">
        <v>78462</v>
      </c>
    </row>
    <row r="62" spans="1:4" x14ac:dyDescent="0.25">
      <c r="A62" s="6" t="s">
        <v>43</v>
      </c>
      <c r="B62" s="7">
        <v>0</v>
      </c>
      <c r="C62" s="7">
        <v>9046</v>
      </c>
      <c r="D62" s="7">
        <v>5901</v>
      </c>
    </row>
    <row r="63" spans="1:4" x14ac:dyDescent="0.25">
      <c r="A63" s="8" t="s">
        <v>44</v>
      </c>
      <c r="B63" s="9">
        <v>0</v>
      </c>
      <c r="C63" s="9">
        <v>0</v>
      </c>
      <c r="D63" s="9">
        <v>0</v>
      </c>
    </row>
    <row r="64" spans="1:4" x14ac:dyDescent="0.25">
      <c r="A64" s="6" t="s">
        <v>45</v>
      </c>
      <c r="B64" s="7">
        <v>13</v>
      </c>
      <c r="C64" s="7">
        <v>9046</v>
      </c>
      <c r="D64" s="7">
        <v>5901</v>
      </c>
    </row>
    <row r="65" spans="1:4" x14ac:dyDescent="0.25">
      <c r="A65" s="8" t="s">
        <v>46</v>
      </c>
      <c r="B65" s="9">
        <v>0</v>
      </c>
      <c r="C65" s="9">
        <v>0</v>
      </c>
      <c r="D65" s="9">
        <v>0</v>
      </c>
    </row>
    <row r="66" spans="1:4" x14ac:dyDescent="0.25">
      <c r="A66" s="6" t="s">
        <v>56</v>
      </c>
      <c r="B66" s="7">
        <v>0</v>
      </c>
      <c r="C66" s="7">
        <v>0</v>
      </c>
      <c r="D66" s="7">
        <v>0</v>
      </c>
    </row>
    <row r="67" spans="1:4" x14ac:dyDescent="0.25">
      <c r="A67" s="8" t="s">
        <v>48</v>
      </c>
      <c r="B67" s="9">
        <v>0</v>
      </c>
      <c r="C67" s="9">
        <v>0</v>
      </c>
      <c r="D67" s="9">
        <v>0</v>
      </c>
    </row>
    <row r="68" spans="1:4" x14ac:dyDescent="0.25">
      <c r="A68" s="6" t="s">
        <v>49</v>
      </c>
      <c r="B68" s="7">
        <v>0</v>
      </c>
      <c r="C68" s="7">
        <v>0</v>
      </c>
      <c r="D68" s="7">
        <v>0</v>
      </c>
    </row>
    <row r="69" spans="1:4" x14ac:dyDescent="0.25">
      <c r="A69" s="8" t="s">
        <v>57</v>
      </c>
      <c r="B69" s="9">
        <v>14</v>
      </c>
      <c r="C69" s="9">
        <v>9210</v>
      </c>
      <c r="D69" s="9">
        <v>9396</v>
      </c>
    </row>
    <row r="70" spans="1:4" x14ac:dyDescent="0.25">
      <c r="A70" s="6" t="s">
        <v>58</v>
      </c>
      <c r="B70" s="7">
        <v>0</v>
      </c>
      <c r="C70" s="7">
        <v>0</v>
      </c>
      <c r="D70" s="7">
        <v>0</v>
      </c>
    </row>
    <row r="71" spans="1:4" x14ac:dyDescent="0.25">
      <c r="A71" s="4" t="s">
        <v>59</v>
      </c>
      <c r="B71" s="5">
        <v>0</v>
      </c>
      <c r="C71" s="5">
        <v>89057</v>
      </c>
      <c r="D71" s="5">
        <v>93759</v>
      </c>
    </row>
    <row r="72" spans="1:4" x14ac:dyDescent="0.25">
      <c r="A72" s="4" t="s">
        <v>60</v>
      </c>
      <c r="B72" s="5">
        <v>0</v>
      </c>
      <c r="C72" s="5">
        <v>129883</v>
      </c>
      <c r="D72" s="5">
        <v>124735</v>
      </c>
    </row>
    <row r="73" spans="1:4" x14ac:dyDescent="0.25">
      <c r="A73" s="4" t="s">
        <v>61</v>
      </c>
      <c r="B73" s="5">
        <v>0</v>
      </c>
      <c r="C73" s="5">
        <v>0</v>
      </c>
      <c r="D73" s="5">
        <v>0</v>
      </c>
    </row>
    <row r="74" spans="1:4" x14ac:dyDescent="0.25">
      <c r="A74" s="6" t="s">
        <v>62</v>
      </c>
      <c r="B74" s="7">
        <v>15</v>
      </c>
      <c r="C74" s="7">
        <v>61450</v>
      </c>
      <c r="D74" s="7">
        <v>61450</v>
      </c>
    </row>
    <row r="75" spans="1:4" x14ac:dyDescent="0.25">
      <c r="A75" s="8" t="s">
        <v>63</v>
      </c>
      <c r="B75" s="9">
        <v>0</v>
      </c>
      <c r="C75" s="9">
        <v>0</v>
      </c>
      <c r="D75" s="9">
        <v>0</v>
      </c>
    </row>
    <row r="76" spans="1:4" x14ac:dyDescent="0.25">
      <c r="A76" s="6" t="s">
        <v>64</v>
      </c>
      <c r="B76" s="7">
        <v>0</v>
      </c>
      <c r="C76" s="7">
        <v>0</v>
      </c>
      <c r="D76" s="7">
        <v>0</v>
      </c>
    </row>
    <row r="77" spans="1:4" x14ac:dyDescent="0.25">
      <c r="A77" s="8" t="s">
        <v>65</v>
      </c>
      <c r="B77" s="9">
        <v>0</v>
      </c>
      <c r="C77" s="9">
        <v>0</v>
      </c>
      <c r="D77" s="9">
        <v>0</v>
      </c>
    </row>
    <row r="78" spans="1:4" x14ac:dyDescent="0.25">
      <c r="A78" s="6" t="s">
        <v>66</v>
      </c>
      <c r="B78" s="7">
        <v>0</v>
      </c>
      <c r="C78" s="7">
        <v>1737</v>
      </c>
      <c r="D78" s="7">
        <v>1665</v>
      </c>
    </row>
    <row r="79" spans="1:4" x14ac:dyDescent="0.25">
      <c r="A79" s="8" t="s">
        <v>67</v>
      </c>
      <c r="B79" s="9">
        <v>0</v>
      </c>
      <c r="C79" s="9">
        <v>38621</v>
      </c>
      <c r="D79" s="9">
        <v>33319</v>
      </c>
    </row>
    <row r="80" spans="1:4" x14ac:dyDescent="0.25">
      <c r="A80" s="6" t="s">
        <v>68</v>
      </c>
      <c r="B80" s="7">
        <v>0</v>
      </c>
      <c r="C80" s="7" t="s">
        <v>423</v>
      </c>
      <c r="D80" s="7" t="s">
        <v>70</v>
      </c>
    </row>
    <row r="81" spans="1:6" x14ac:dyDescent="0.25">
      <c r="A81" s="4" t="s">
        <v>71</v>
      </c>
      <c r="B81" s="5">
        <v>0</v>
      </c>
      <c r="C81" s="5">
        <v>99110</v>
      </c>
      <c r="D81" s="5">
        <v>92067</v>
      </c>
    </row>
    <row r="82" spans="1:6" x14ac:dyDescent="0.25">
      <c r="A82" s="4" t="s">
        <v>72</v>
      </c>
      <c r="B82" s="5">
        <v>0</v>
      </c>
      <c r="C82" s="5">
        <v>228993</v>
      </c>
      <c r="D82" s="5">
        <v>216802</v>
      </c>
    </row>
    <row r="85" spans="1:6" ht="15.75" x14ac:dyDescent="0.25">
      <c r="A85" s="2" t="s">
        <v>73</v>
      </c>
    </row>
    <row r="86" spans="1:6" x14ac:dyDescent="0.25">
      <c r="A86" s="3" t="s">
        <v>7</v>
      </c>
      <c r="B86" s="3" t="s">
        <v>8</v>
      </c>
      <c r="C86" s="3" t="s">
        <v>424</v>
      </c>
      <c r="D86" s="3" t="s">
        <v>425</v>
      </c>
      <c r="E86" s="3" t="s">
        <v>426</v>
      </c>
      <c r="F86" s="3" t="s">
        <v>427</v>
      </c>
    </row>
    <row r="87" spans="1:6" x14ac:dyDescent="0.25">
      <c r="A87" s="4" t="s">
        <v>78</v>
      </c>
      <c r="B87" s="5">
        <v>0</v>
      </c>
      <c r="C87" s="5">
        <v>38897</v>
      </c>
      <c r="D87" s="5">
        <v>33973</v>
      </c>
      <c r="E87" s="5">
        <v>148901</v>
      </c>
      <c r="F87" s="5">
        <v>130563</v>
      </c>
    </row>
    <row r="88" spans="1:6" x14ac:dyDescent="0.25">
      <c r="A88" s="6" t="s">
        <v>79</v>
      </c>
      <c r="B88" s="7">
        <v>17</v>
      </c>
      <c r="C88" s="7" t="s">
        <v>428</v>
      </c>
      <c r="D88" s="7" t="s">
        <v>429</v>
      </c>
      <c r="E88" s="7" t="s">
        <v>430</v>
      </c>
      <c r="F88" s="7" t="s">
        <v>431</v>
      </c>
    </row>
    <row r="89" spans="1:6" x14ac:dyDescent="0.25">
      <c r="A89" s="4" t="s">
        <v>82</v>
      </c>
      <c r="B89" s="5">
        <v>0</v>
      </c>
      <c r="C89" s="5">
        <v>14452</v>
      </c>
      <c r="D89" s="5">
        <v>11785</v>
      </c>
      <c r="E89" s="5">
        <v>56235</v>
      </c>
      <c r="F89" s="5">
        <v>50354</v>
      </c>
    </row>
    <row r="90" spans="1:6" x14ac:dyDescent="0.25">
      <c r="A90" s="6" t="s">
        <v>83</v>
      </c>
      <c r="B90" s="7">
        <v>19</v>
      </c>
      <c r="C90" s="7" t="s">
        <v>432</v>
      </c>
      <c r="D90" s="7" t="s">
        <v>433</v>
      </c>
      <c r="E90" s="7" t="s">
        <v>434</v>
      </c>
      <c r="F90" s="7" t="s">
        <v>435</v>
      </c>
    </row>
    <row r="91" spans="1:6" x14ac:dyDescent="0.25">
      <c r="A91" s="8" t="s">
        <v>86</v>
      </c>
      <c r="B91" s="9">
        <v>18</v>
      </c>
      <c r="C91" s="9" t="s">
        <v>436</v>
      </c>
      <c r="D91" s="9" t="s">
        <v>437</v>
      </c>
      <c r="E91" s="9" t="s">
        <v>438</v>
      </c>
      <c r="F91" s="9" t="s">
        <v>439</v>
      </c>
    </row>
    <row r="92" spans="1:6" x14ac:dyDescent="0.25">
      <c r="A92" s="6" t="s">
        <v>89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</row>
    <row r="93" spans="1:6" x14ac:dyDescent="0.25">
      <c r="A93" s="8" t="s">
        <v>90</v>
      </c>
      <c r="B93" s="9">
        <v>0</v>
      </c>
      <c r="C93" s="9">
        <v>1852</v>
      </c>
      <c r="D93" s="9">
        <v>2684</v>
      </c>
      <c r="E93" s="9">
        <v>1852</v>
      </c>
      <c r="F93" s="9">
        <v>2684</v>
      </c>
    </row>
    <row r="94" spans="1:6" x14ac:dyDescent="0.25">
      <c r="A94" s="6" t="s">
        <v>91</v>
      </c>
      <c r="B94" s="7">
        <v>0</v>
      </c>
      <c r="C94" s="7" t="s">
        <v>440</v>
      </c>
      <c r="D94" s="7" t="s">
        <v>441</v>
      </c>
      <c r="E94" s="7" t="s">
        <v>442</v>
      </c>
      <c r="F94" s="7" t="s">
        <v>443</v>
      </c>
    </row>
    <row r="95" spans="1:6" x14ac:dyDescent="0.25">
      <c r="A95" s="8" t="s">
        <v>94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</row>
    <row r="96" spans="1:6" x14ac:dyDescent="0.25">
      <c r="A96" s="4" t="s">
        <v>95</v>
      </c>
      <c r="B96" s="5">
        <v>0</v>
      </c>
      <c r="C96" s="5">
        <v>6256</v>
      </c>
      <c r="D96" s="5">
        <v>5724</v>
      </c>
      <c r="E96" s="5">
        <v>16646</v>
      </c>
      <c r="F96" s="5">
        <v>14742</v>
      </c>
    </row>
    <row r="97" spans="1:6" x14ac:dyDescent="0.25">
      <c r="A97" s="8" t="s">
        <v>97</v>
      </c>
      <c r="B97" s="9">
        <v>0</v>
      </c>
      <c r="C97" s="9">
        <v>114</v>
      </c>
      <c r="D97" s="9">
        <v>142</v>
      </c>
      <c r="E97" s="9">
        <v>460</v>
      </c>
      <c r="F97" s="9">
        <v>416</v>
      </c>
    </row>
    <row r="98" spans="1:6" x14ac:dyDescent="0.25">
      <c r="A98" s="6" t="s">
        <v>98</v>
      </c>
      <c r="B98" s="7">
        <v>0</v>
      </c>
      <c r="C98" s="7" t="s">
        <v>444</v>
      </c>
      <c r="D98" s="7" t="s">
        <v>445</v>
      </c>
      <c r="E98" s="7" t="s">
        <v>446</v>
      </c>
      <c r="F98" s="7" t="s">
        <v>447</v>
      </c>
    </row>
    <row r="99" spans="1:6" x14ac:dyDescent="0.25">
      <c r="A99" s="8" t="s">
        <v>101</v>
      </c>
      <c r="B99" s="9">
        <v>0</v>
      </c>
      <c r="C99" s="9">
        <v>741</v>
      </c>
      <c r="D99" s="9" t="s">
        <v>448</v>
      </c>
      <c r="E99" s="9">
        <v>446</v>
      </c>
      <c r="F99" s="9" t="s">
        <v>449</v>
      </c>
    </row>
    <row r="100" spans="1:6" x14ac:dyDescent="0.25">
      <c r="A100" s="6" t="s">
        <v>103</v>
      </c>
      <c r="B100" s="7">
        <v>0</v>
      </c>
      <c r="C100" s="7" t="s">
        <v>450</v>
      </c>
      <c r="D100" s="7" t="s">
        <v>451</v>
      </c>
      <c r="E100" s="7" t="s">
        <v>450</v>
      </c>
      <c r="F100" s="7" t="s">
        <v>451</v>
      </c>
    </row>
    <row r="101" spans="1:6" x14ac:dyDescent="0.25">
      <c r="A101" s="8" t="s">
        <v>104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105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</row>
    <row r="103" spans="1:6" x14ac:dyDescent="0.25">
      <c r="A103" s="4" t="s">
        <v>106</v>
      </c>
      <c r="B103" s="5">
        <v>0</v>
      </c>
      <c r="C103" s="5">
        <v>4979</v>
      </c>
      <c r="D103" s="5" t="s">
        <v>452</v>
      </c>
      <c r="E103" s="5">
        <v>9744</v>
      </c>
      <c r="F103" s="5">
        <v>1150</v>
      </c>
    </row>
    <row r="104" spans="1:6" x14ac:dyDescent="0.25">
      <c r="A104" s="6" t="s">
        <v>109</v>
      </c>
      <c r="B104" s="7">
        <v>0</v>
      </c>
      <c r="C104" s="7" t="s">
        <v>453</v>
      </c>
      <c r="D104" s="7">
        <v>277</v>
      </c>
      <c r="E104" s="7" t="s">
        <v>454</v>
      </c>
      <c r="F104" s="7" t="s">
        <v>455</v>
      </c>
    </row>
    <row r="105" spans="1:6" x14ac:dyDescent="0.25">
      <c r="A105" s="8" t="s">
        <v>111</v>
      </c>
      <c r="B105" s="9">
        <v>0</v>
      </c>
      <c r="C105" s="9">
        <v>2774</v>
      </c>
      <c r="D105" s="9">
        <v>246</v>
      </c>
      <c r="E105" s="9">
        <v>7044</v>
      </c>
      <c r="F105" s="9">
        <v>713</v>
      </c>
    </row>
    <row r="106" spans="1:6" x14ac:dyDescent="0.25">
      <c r="A106" s="6" t="s">
        <v>113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4" t="s">
        <v>114</v>
      </c>
      <c r="B107" s="5">
        <v>0</v>
      </c>
      <c r="C107" s="5">
        <v>2774</v>
      </c>
      <c r="D107" s="5">
        <v>246</v>
      </c>
      <c r="E107" s="5">
        <v>7044</v>
      </c>
      <c r="F107" s="5">
        <v>713</v>
      </c>
    </row>
    <row r="108" spans="1:6" x14ac:dyDescent="0.25">
      <c r="A108" s="4" t="s">
        <v>115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</row>
    <row r="109" spans="1:6" x14ac:dyDescent="0.25">
      <c r="A109" s="4" t="s">
        <v>116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</row>
    <row r="110" spans="1:6" x14ac:dyDescent="0.25">
      <c r="A110" s="6" t="s">
        <v>117</v>
      </c>
      <c r="B110" s="7">
        <v>0</v>
      </c>
      <c r="C110" s="7">
        <v>4.4999999999999998E-2</v>
      </c>
      <c r="D110" s="7">
        <v>4.0000000000000001E-3</v>
      </c>
      <c r="E110" s="7">
        <v>0.115</v>
      </c>
      <c r="F110" s="7">
        <v>1.2E-2</v>
      </c>
    </row>
    <row r="111" spans="1:6" x14ac:dyDescent="0.25">
      <c r="A111" s="8" t="s">
        <v>120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</row>
    <row r="112" spans="1:6" x14ac:dyDescent="0.25">
      <c r="A112" s="6" t="s">
        <v>121</v>
      </c>
      <c r="B112" s="7">
        <v>0</v>
      </c>
      <c r="C112" s="7">
        <v>4.4999999999999998E-2</v>
      </c>
      <c r="D112" s="7">
        <v>4.0000000000000001E-3</v>
      </c>
      <c r="E112" s="7">
        <v>0.115</v>
      </c>
      <c r="F112" s="7">
        <v>1.2E-2</v>
      </c>
    </row>
    <row r="113" spans="1:17" x14ac:dyDescent="0.25">
      <c r="A113" s="8" t="s">
        <v>122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17" x14ac:dyDescent="0.25">
      <c r="A114" s="6" t="s">
        <v>123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</row>
    <row r="115" spans="1:17" x14ac:dyDescent="0.25">
      <c r="A115" s="8" t="s">
        <v>124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</row>
    <row r="116" spans="1:17" x14ac:dyDescent="0.25">
      <c r="A116" s="4" t="s">
        <v>125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17" x14ac:dyDescent="0.25">
      <c r="A117" s="8" t="s">
        <v>126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</row>
    <row r="118" spans="1:17" x14ac:dyDescent="0.25">
      <c r="A118" s="6" t="s">
        <v>127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17" x14ac:dyDescent="0.25">
      <c r="A119" s="8" t="s">
        <v>128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</row>
    <row r="120" spans="1:17" x14ac:dyDescent="0.25">
      <c r="A120" s="6" t="s">
        <v>129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17" x14ac:dyDescent="0.25">
      <c r="A121" s="8" t="s">
        <v>130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17" x14ac:dyDescent="0.25">
      <c r="A122" s="6" t="s">
        <v>131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5" spans="1:17" ht="15.75" x14ac:dyDescent="0.25">
      <c r="A125" s="2" t="s">
        <v>132</v>
      </c>
    </row>
    <row r="126" spans="1:17" x14ac:dyDescent="0.25">
      <c r="A126" s="3" t="s">
        <v>7</v>
      </c>
      <c r="B126" s="3" t="s">
        <v>62</v>
      </c>
      <c r="C126" s="3" t="s">
        <v>63</v>
      </c>
      <c r="D126" s="3" t="s">
        <v>64</v>
      </c>
      <c r="E126" s="3" t="s">
        <v>65</v>
      </c>
      <c r="F126" s="3" t="s">
        <v>66</v>
      </c>
      <c r="G126" s="3" t="s">
        <v>67</v>
      </c>
      <c r="H126" s="3" t="s">
        <v>133</v>
      </c>
      <c r="I126" s="3" t="s">
        <v>134</v>
      </c>
      <c r="J126" s="3" t="s">
        <v>135</v>
      </c>
      <c r="K126" s="3" t="s">
        <v>136</v>
      </c>
      <c r="L126" s="3" t="s">
        <v>137</v>
      </c>
      <c r="M126" s="3" t="s">
        <v>138</v>
      </c>
      <c r="N126" s="3" t="s">
        <v>139</v>
      </c>
      <c r="O126" s="3" t="s">
        <v>140</v>
      </c>
      <c r="P126" s="3" t="s">
        <v>68</v>
      </c>
      <c r="Q126" s="3" t="s">
        <v>71</v>
      </c>
    </row>
    <row r="127" spans="1:17" x14ac:dyDescent="0.25">
      <c r="A127" s="8" t="s">
        <v>141</v>
      </c>
      <c r="B127" s="9">
        <v>61450</v>
      </c>
      <c r="C127" s="9">
        <v>0</v>
      </c>
      <c r="D127" s="9">
        <v>0</v>
      </c>
      <c r="E127" s="9">
        <v>0</v>
      </c>
      <c r="F127" s="9">
        <v>1370</v>
      </c>
      <c r="G127" s="9">
        <v>34383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 t="s">
        <v>142</v>
      </c>
      <c r="P127" s="9" t="s">
        <v>142</v>
      </c>
      <c r="Q127" s="9">
        <v>94044</v>
      </c>
    </row>
    <row r="128" spans="1:17" x14ac:dyDescent="0.25">
      <c r="A128" s="6" t="s">
        <v>143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</row>
    <row r="129" spans="1:17" x14ac:dyDescent="0.25">
      <c r="A129" s="8" t="s">
        <v>144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</row>
    <row r="130" spans="1:17" x14ac:dyDescent="0.25">
      <c r="A130" s="6" t="s">
        <v>145</v>
      </c>
      <c r="B130" s="7">
        <v>61450</v>
      </c>
      <c r="C130" s="7">
        <v>0</v>
      </c>
      <c r="D130" s="7">
        <v>0</v>
      </c>
      <c r="E130" s="7">
        <v>0</v>
      </c>
      <c r="F130" s="7">
        <v>1370</v>
      </c>
      <c r="G130" s="7">
        <v>34383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 t="s">
        <v>142</v>
      </c>
      <c r="P130" s="7" t="s">
        <v>142</v>
      </c>
      <c r="Q130" s="7">
        <v>94044</v>
      </c>
    </row>
    <row r="131" spans="1:17" x14ac:dyDescent="0.25">
      <c r="A131" s="8" t="s">
        <v>146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</row>
    <row r="132" spans="1:17" x14ac:dyDescent="0.25">
      <c r="A132" s="6" t="s">
        <v>147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</row>
    <row r="133" spans="1:17" x14ac:dyDescent="0.25">
      <c r="A133" s="8" t="s">
        <v>148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713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713</v>
      </c>
    </row>
    <row r="134" spans="1:17" x14ac:dyDescent="0.25">
      <c r="A134" s="6" t="s">
        <v>149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 t="s">
        <v>456</v>
      </c>
      <c r="P134" s="7" t="s">
        <v>456</v>
      </c>
      <c r="Q134" s="7" t="s">
        <v>456</v>
      </c>
    </row>
    <row r="135" spans="1:17" x14ac:dyDescent="0.25">
      <c r="A135" s="8" t="s">
        <v>151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713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 t="s">
        <v>456</v>
      </c>
      <c r="P135" s="9" t="s">
        <v>456</v>
      </c>
      <c r="Q135" s="9" t="s">
        <v>383</v>
      </c>
    </row>
    <row r="136" spans="1:17" x14ac:dyDescent="0.25">
      <c r="A136" s="6" t="s">
        <v>153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 t="s">
        <v>457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 t="s">
        <v>457</v>
      </c>
    </row>
    <row r="137" spans="1:17" x14ac:dyDescent="0.25">
      <c r="A137" s="8" t="s">
        <v>154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</row>
    <row r="138" spans="1:17" x14ac:dyDescent="0.25">
      <c r="A138" s="6" t="s">
        <v>155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</row>
    <row r="139" spans="1:17" x14ac:dyDescent="0.25">
      <c r="A139" s="8" t="s">
        <v>156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</row>
    <row r="140" spans="1:17" x14ac:dyDescent="0.25">
      <c r="A140" s="6" t="s">
        <v>157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</row>
    <row r="141" spans="1:17" x14ac:dyDescent="0.25">
      <c r="A141" s="8" t="s">
        <v>158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</row>
    <row r="142" spans="1:17" x14ac:dyDescent="0.25">
      <c r="A142" s="6" t="s">
        <v>159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</row>
    <row r="143" spans="1:17" x14ac:dyDescent="0.25">
      <c r="A143" s="8" t="s">
        <v>160</v>
      </c>
      <c r="B143" s="9">
        <v>0</v>
      </c>
      <c r="C143" s="9">
        <v>0</v>
      </c>
      <c r="D143" s="9">
        <v>0</v>
      </c>
      <c r="E143" s="9">
        <v>0</v>
      </c>
      <c r="F143" s="9">
        <v>295</v>
      </c>
      <c r="G143" s="9" t="s">
        <v>372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</row>
    <row r="144" spans="1:17" x14ac:dyDescent="0.25">
      <c r="A144" s="6" t="s">
        <v>161</v>
      </c>
      <c r="B144" s="7">
        <v>0</v>
      </c>
      <c r="C144" s="7">
        <v>0</v>
      </c>
      <c r="D144" s="7">
        <v>0</v>
      </c>
      <c r="E144" s="7">
        <v>0</v>
      </c>
      <c r="F144" s="7">
        <v>295</v>
      </c>
      <c r="G144" s="7" t="s">
        <v>458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 t="s">
        <v>456</v>
      </c>
      <c r="P144" s="7" t="s">
        <v>456</v>
      </c>
      <c r="Q144" s="7" t="s">
        <v>459</v>
      </c>
    </row>
    <row r="145" spans="1:17" x14ac:dyDescent="0.25">
      <c r="A145" s="8" t="s">
        <v>460</v>
      </c>
      <c r="B145" s="9">
        <v>61450</v>
      </c>
      <c r="C145" s="9">
        <v>0</v>
      </c>
      <c r="D145" s="9">
        <v>0</v>
      </c>
      <c r="E145" s="9">
        <v>0</v>
      </c>
      <c r="F145" s="9">
        <v>1665</v>
      </c>
      <c r="G145" s="9">
        <v>33319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 t="s">
        <v>70</v>
      </c>
      <c r="P145" s="9" t="s">
        <v>70</v>
      </c>
      <c r="Q145" s="9">
        <v>92067</v>
      </c>
    </row>
    <row r="146" spans="1:17" x14ac:dyDescent="0.25">
      <c r="A146" s="6" t="s">
        <v>164</v>
      </c>
      <c r="B146" s="7">
        <v>61450</v>
      </c>
      <c r="C146" s="7">
        <v>0</v>
      </c>
      <c r="D146" s="7">
        <v>0</v>
      </c>
      <c r="E146" s="7">
        <v>0</v>
      </c>
      <c r="F146" s="7">
        <v>1665</v>
      </c>
      <c r="G146" s="7">
        <v>33319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 t="s">
        <v>70</v>
      </c>
      <c r="P146" s="7" t="s">
        <v>70</v>
      </c>
      <c r="Q146" s="7">
        <v>92067</v>
      </c>
    </row>
    <row r="147" spans="1:17" x14ac:dyDescent="0.25">
      <c r="A147" s="8" t="s">
        <v>143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</row>
    <row r="148" spans="1:17" x14ac:dyDescent="0.25">
      <c r="A148" s="6" t="s">
        <v>144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</row>
    <row r="149" spans="1:17" x14ac:dyDescent="0.25">
      <c r="A149" s="8" t="s">
        <v>145</v>
      </c>
      <c r="B149" s="9">
        <v>61450</v>
      </c>
      <c r="C149" s="9">
        <v>0</v>
      </c>
      <c r="D149" s="9">
        <v>0</v>
      </c>
      <c r="E149" s="9">
        <v>0</v>
      </c>
      <c r="F149" s="9">
        <v>1665</v>
      </c>
      <c r="G149" s="9">
        <v>33319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 t="s">
        <v>70</v>
      </c>
      <c r="P149" s="9" t="s">
        <v>70</v>
      </c>
      <c r="Q149" s="9">
        <v>92067</v>
      </c>
    </row>
    <row r="150" spans="1:17" x14ac:dyDescent="0.25">
      <c r="A150" s="6" t="s">
        <v>146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</row>
    <row r="151" spans="1:17" x14ac:dyDescent="0.25">
      <c r="A151" s="8" t="s">
        <v>147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</row>
    <row r="152" spans="1:17" x14ac:dyDescent="0.25">
      <c r="A152" s="6" t="s">
        <v>148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7044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7044</v>
      </c>
    </row>
    <row r="153" spans="1:17" x14ac:dyDescent="0.25">
      <c r="A153" s="8" t="s">
        <v>149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1669</v>
      </c>
      <c r="P153" s="9">
        <v>1669</v>
      </c>
      <c r="Q153" s="9">
        <v>1669</v>
      </c>
    </row>
    <row r="154" spans="1:17" x14ac:dyDescent="0.25">
      <c r="A154" s="6" t="s">
        <v>151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7044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1669</v>
      </c>
      <c r="P154" s="7">
        <v>1669</v>
      </c>
      <c r="Q154" s="7">
        <v>8713</v>
      </c>
    </row>
    <row r="155" spans="1:17" x14ac:dyDescent="0.25">
      <c r="A155" s="8" t="s">
        <v>153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 t="s">
        <v>322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 t="s">
        <v>322</v>
      </c>
    </row>
    <row r="156" spans="1:17" x14ac:dyDescent="0.25">
      <c r="A156" s="6" t="s">
        <v>154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</row>
    <row r="157" spans="1:17" x14ac:dyDescent="0.25">
      <c r="A157" s="8" t="s">
        <v>155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</row>
    <row r="158" spans="1:17" x14ac:dyDescent="0.25">
      <c r="A158" s="6" t="s">
        <v>156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</row>
    <row r="159" spans="1:17" x14ac:dyDescent="0.25">
      <c r="A159" s="8" t="s">
        <v>157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</row>
    <row r="160" spans="1:17" x14ac:dyDescent="0.25">
      <c r="A160" s="6" t="s">
        <v>158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</row>
    <row r="161" spans="1:17" x14ac:dyDescent="0.25">
      <c r="A161" s="8" t="s">
        <v>159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</row>
    <row r="162" spans="1:17" x14ac:dyDescent="0.25">
      <c r="A162" s="6" t="s">
        <v>160</v>
      </c>
      <c r="B162" s="7">
        <v>0</v>
      </c>
      <c r="C162" s="7">
        <v>0</v>
      </c>
      <c r="D162" s="7">
        <v>0</v>
      </c>
      <c r="E162" s="7">
        <v>0</v>
      </c>
      <c r="F162" s="7">
        <v>72</v>
      </c>
      <c r="G162" s="7" t="s">
        <v>323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</row>
    <row r="163" spans="1:17" x14ac:dyDescent="0.25">
      <c r="A163" s="8" t="s">
        <v>161</v>
      </c>
      <c r="B163" s="9">
        <v>0</v>
      </c>
      <c r="C163" s="9">
        <v>0</v>
      </c>
      <c r="D163" s="9">
        <v>0</v>
      </c>
      <c r="E163" s="9">
        <v>0</v>
      </c>
      <c r="F163" s="9">
        <v>72</v>
      </c>
      <c r="G163" s="9">
        <v>5302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1669</v>
      </c>
      <c r="P163" s="9">
        <v>1669</v>
      </c>
      <c r="Q163" s="9">
        <v>7043</v>
      </c>
    </row>
    <row r="164" spans="1:17" x14ac:dyDescent="0.25">
      <c r="A164" s="6" t="s">
        <v>461</v>
      </c>
      <c r="B164" s="7">
        <v>61450</v>
      </c>
      <c r="C164" s="7">
        <v>0</v>
      </c>
      <c r="D164" s="7">
        <v>0</v>
      </c>
      <c r="E164" s="7">
        <v>0</v>
      </c>
      <c r="F164" s="7">
        <v>1737</v>
      </c>
      <c r="G164" s="7">
        <v>38621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 t="s">
        <v>423</v>
      </c>
      <c r="P164" s="7" t="s">
        <v>423</v>
      </c>
      <c r="Q164" s="7">
        <v>99110</v>
      </c>
    </row>
    <row r="167" spans="1:17" ht="15.75" x14ac:dyDescent="0.25">
      <c r="A167" s="2" t="s">
        <v>167</v>
      </c>
    </row>
    <row r="168" spans="1:17" x14ac:dyDescent="0.25">
      <c r="A168" s="3" t="s">
        <v>7</v>
      </c>
      <c r="B168" s="3" t="s">
        <v>8</v>
      </c>
      <c r="C168" s="3" t="s">
        <v>462</v>
      </c>
      <c r="D168" s="3" t="s">
        <v>463</v>
      </c>
    </row>
    <row r="169" spans="1:17" x14ac:dyDescent="0.25">
      <c r="A169" s="4" t="s">
        <v>170</v>
      </c>
      <c r="B169" s="5">
        <v>0</v>
      </c>
      <c r="C169" s="5">
        <v>0</v>
      </c>
      <c r="D169" s="5">
        <v>0</v>
      </c>
    </row>
    <row r="170" spans="1:17" x14ac:dyDescent="0.25">
      <c r="A170" s="4" t="s">
        <v>171</v>
      </c>
      <c r="B170" s="5">
        <v>0</v>
      </c>
      <c r="C170" s="5">
        <v>0</v>
      </c>
      <c r="D170" s="5">
        <v>0</v>
      </c>
    </row>
    <row r="171" spans="1:17" x14ac:dyDescent="0.25">
      <c r="A171" s="8" t="s">
        <v>172</v>
      </c>
      <c r="B171" s="9">
        <v>0</v>
      </c>
      <c r="C171" s="9">
        <v>147840</v>
      </c>
      <c r="D171" s="9">
        <v>132020</v>
      </c>
    </row>
    <row r="172" spans="1:17" x14ac:dyDescent="0.25">
      <c r="A172" s="6" t="s">
        <v>173</v>
      </c>
      <c r="B172" s="7">
        <v>0</v>
      </c>
      <c r="C172" s="7">
        <v>0</v>
      </c>
      <c r="D172" s="7">
        <v>0</v>
      </c>
    </row>
    <row r="173" spans="1:17" x14ac:dyDescent="0.25">
      <c r="A173" s="8" t="s">
        <v>174</v>
      </c>
      <c r="B173" s="9">
        <v>0</v>
      </c>
      <c r="C173" s="9">
        <v>0</v>
      </c>
      <c r="D173" s="9">
        <v>0</v>
      </c>
    </row>
    <row r="174" spans="1:17" x14ac:dyDescent="0.25">
      <c r="A174" s="6" t="s">
        <v>175</v>
      </c>
      <c r="B174" s="7">
        <v>0</v>
      </c>
      <c r="C174" s="7">
        <v>0</v>
      </c>
      <c r="D174" s="7">
        <v>0</v>
      </c>
    </row>
    <row r="175" spans="1:17" x14ac:dyDescent="0.25">
      <c r="A175" s="8" t="s">
        <v>176</v>
      </c>
      <c r="B175" s="9">
        <v>0</v>
      </c>
      <c r="C175" s="9">
        <v>992</v>
      </c>
      <c r="D175" s="9">
        <v>0</v>
      </c>
    </row>
    <row r="176" spans="1:17" x14ac:dyDescent="0.25">
      <c r="A176" s="4" t="s">
        <v>177</v>
      </c>
      <c r="B176" s="5">
        <v>0</v>
      </c>
      <c r="C176" s="5">
        <v>0</v>
      </c>
      <c r="D176" s="5">
        <v>0</v>
      </c>
    </row>
    <row r="177" spans="1:4" x14ac:dyDescent="0.25">
      <c r="A177" s="8" t="s">
        <v>178</v>
      </c>
      <c r="B177" s="9">
        <v>0</v>
      </c>
      <c r="C177" s="9" t="s">
        <v>464</v>
      </c>
      <c r="D177" s="9" t="s">
        <v>465</v>
      </c>
    </row>
    <row r="178" spans="1:4" x14ac:dyDescent="0.25">
      <c r="A178" s="6" t="s">
        <v>174</v>
      </c>
      <c r="B178" s="7">
        <v>0</v>
      </c>
      <c r="C178" s="7">
        <v>0</v>
      </c>
      <c r="D178" s="7">
        <v>0</v>
      </c>
    </row>
    <row r="179" spans="1:4" x14ac:dyDescent="0.25">
      <c r="A179" s="8" t="s">
        <v>181</v>
      </c>
      <c r="B179" s="9">
        <v>0</v>
      </c>
      <c r="C179" s="9" t="s">
        <v>466</v>
      </c>
      <c r="D179" s="9" t="s">
        <v>467</v>
      </c>
    </row>
    <row r="180" spans="1:4" x14ac:dyDescent="0.25">
      <c r="A180" s="6" t="s">
        <v>184</v>
      </c>
      <c r="B180" s="7">
        <v>0</v>
      </c>
      <c r="C180" s="7">
        <v>0</v>
      </c>
      <c r="D180" s="7">
        <v>0</v>
      </c>
    </row>
    <row r="181" spans="1:4" x14ac:dyDescent="0.25">
      <c r="A181" s="8" t="s">
        <v>185</v>
      </c>
      <c r="B181" s="9">
        <v>0</v>
      </c>
      <c r="C181" s="9" t="s">
        <v>468</v>
      </c>
      <c r="D181" s="9" t="s">
        <v>469</v>
      </c>
    </row>
    <row r="182" spans="1:4" x14ac:dyDescent="0.25">
      <c r="A182" s="6" t="s">
        <v>188</v>
      </c>
      <c r="B182" s="7">
        <v>0</v>
      </c>
      <c r="C182" s="7">
        <v>30529</v>
      </c>
      <c r="D182" s="7">
        <v>16601</v>
      </c>
    </row>
    <row r="183" spans="1:4" x14ac:dyDescent="0.25">
      <c r="A183" s="8" t="s">
        <v>189</v>
      </c>
      <c r="B183" s="9">
        <v>0</v>
      </c>
      <c r="C183" s="9">
        <v>0</v>
      </c>
      <c r="D183" s="9">
        <v>0</v>
      </c>
    </row>
    <row r="184" spans="1:4" x14ac:dyDescent="0.25">
      <c r="A184" s="6" t="s">
        <v>190</v>
      </c>
      <c r="B184" s="7">
        <v>0</v>
      </c>
      <c r="C184" s="7">
        <v>0</v>
      </c>
      <c r="D184" s="7">
        <v>0</v>
      </c>
    </row>
    <row r="185" spans="1:4" x14ac:dyDescent="0.25">
      <c r="A185" s="8" t="s">
        <v>193</v>
      </c>
      <c r="B185" s="9">
        <v>0</v>
      </c>
      <c r="C185" s="9">
        <v>0</v>
      </c>
      <c r="D185" s="9">
        <v>0</v>
      </c>
    </row>
    <row r="186" spans="1:4" x14ac:dyDescent="0.25">
      <c r="A186" s="6" t="s">
        <v>194</v>
      </c>
      <c r="B186" s="7">
        <v>0</v>
      </c>
      <c r="C186" s="7">
        <v>0</v>
      </c>
      <c r="D186" s="7">
        <v>0</v>
      </c>
    </row>
    <row r="187" spans="1:4" x14ac:dyDescent="0.25">
      <c r="A187" s="8" t="s">
        <v>195</v>
      </c>
      <c r="B187" s="9">
        <v>0</v>
      </c>
      <c r="C187" s="9" t="s">
        <v>470</v>
      </c>
      <c r="D187" s="9" t="s">
        <v>471</v>
      </c>
    </row>
    <row r="188" spans="1:4" x14ac:dyDescent="0.25">
      <c r="A188" s="6" t="s">
        <v>196</v>
      </c>
      <c r="B188" s="7">
        <v>0</v>
      </c>
      <c r="C188" s="7">
        <v>0</v>
      </c>
      <c r="D188" s="7">
        <v>0</v>
      </c>
    </row>
    <row r="189" spans="1:4" x14ac:dyDescent="0.25">
      <c r="A189" s="4" t="s">
        <v>198</v>
      </c>
      <c r="B189" s="5">
        <v>0</v>
      </c>
      <c r="C189" s="5">
        <v>29639</v>
      </c>
      <c r="D189" s="5">
        <v>15723</v>
      </c>
    </row>
    <row r="190" spans="1:4" x14ac:dyDescent="0.25">
      <c r="A190" s="4" t="s">
        <v>200</v>
      </c>
      <c r="B190" s="5">
        <v>0</v>
      </c>
      <c r="C190" s="5">
        <v>0</v>
      </c>
      <c r="D190" s="5">
        <v>0</v>
      </c>
    </row>
    <row r="191" spans="1:4" x14ac:dyDescent="0.25">
      <c r="A191" s="4" t="s">
        <v>201</v>
      </c>
      <c r="B191" s="5">
        <v>0</v>
      </c>
      <c r="C191" s="5">
        <v>0</v>
      </c>
      <c r="D191" s="5">
        <v>0</v>
      </c>
    </row>
    <row r="192" spans="1:4" x14ac:dyDescent="0.25">
      <c r="A192" s="6" t="s">
        <v>202</v>
      </c>
      <c r="B192" s="7">
        <v>0</v>
      </c>
      <c r="C192" s="7">
        <v>0</v>
      </c>
      <c r="D192" s="7" t="s">
        <v>472</v>
      </c>
    </row>
    <row r="193" spans="1:4" x14ac:dyDescent="0.25">
      <c r="A193" s="8" t="s">
        <v>203</v>
      </c>
      <c r="B193" s="9">
        <v>0</v>
      </c>
      <c r="C193" s="9">
        <v>0</v>
      </c>
      <c r="D193" s="9">
        <v>0</v>
      </c>
    </row>
    <row r="194" spans="1:4" x14ac:dyDescent="0.25">
      <c r="A194" s="6" t="s">
        <v>204</v>
      </c>
      <c r="B194" s="7">
        <v>0</v>
      </c>
      <c r="C194" s="7">
        <v>0</v>
      </c>
      <c r="D194" s="7">
        <v>0</v>
      </c>
    </row>
    <row r="195" spans="1:4" x14ac:dyDescent="0.25">
      <c r="A195" s="8" t="s">
        <v>205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206</v>
      </c>
      <c r="B196" s="7">
        <v>0</v>
      </c>
      <c r="C196" s="7">
        <v>0</v>
      </c>
      <c r="D196" s="7">
        <v>0</v>
      </c>
    </row>
    <row r="197" spans="1:4" x14ac:dyDescent="0.25">
      <c r="A197" s="8" t="s">
        <v>207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208</v>
      </c>
      <c r="B198" s="7">
        <v>0</v>
      </c>
      <c r="C198" s="7">
        <v>0</v>
      </c>
      <c r="D198" s="7">
        <v>3505</v>
      </c>
    </row>
    <row r="199" spans="1:4" x14ac:dyDescent="0.25">
      <c r="A199" s="8" t="s">
        <v>209</v>
      </c>
      <c r="B199" s="9">
        <v>0</v>
      </c>
      <c r="C199" s="9">
        <v>0</v>
      </c>
      <c r="D199" s="9">
        <v>0</v>
      </c>
    </row>
    <row r="200" spans="1:4" x14ac:dyDescent="0.25">
      <c r="A200" s="6" t="s">
        <v>210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211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212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213</v>
      </c>
      <c r="B203" s="9">
        <v>0</v>
      </c>
      <c r="C203" s="9">
        <v>0</v>
      </c>
      <c r="D203" s="9">
        <v>0</v>
      </c>
    </row>
    <row r="204" spans="1:4" x14ac:dyDescent="0.25">
      <c r="A204" s="4" t="s">
        <v>214</v>
      </c>
      <c r="B204" s="5">
        <v>0</v>
      </c>
      <c r="C204" s="5">
        <v>0</v>
      </c>
      <c r="D204" s="5">
        <v>0</v>
      </c>
    </row>
    <row r="205" spans="1:4" x14ac:dyDescent="0.25">
      <c r="A205" s="8" t="s">
        <v>215</v>
      </c>
      <c r="B205" s="9">
        <v>0</v>
      </c>
      <c r="C205" s="9">
        <v>0</v>
      </c>
      <c r="D205" s="9">
        <v>0</v>
      </c>
    </row>
    <row r="206" spans="1:4" x14ac:dyDescent="0.25">
      <c r="A206" s="6" t="s">
        <v>216</v>
      </c>
      <c r="B206" s="7">
        <v>0</v>
      </c>
      <c r="C206" s="7">
        <v>0</v>
      </c>
      <c r="D206" s="7">
        <v>0</v>
      </c>
    </row>
    <row r="207" spans="1:4" x14ac:dyDescent="0.25">
      <c r="A207" s="8" t="s">
        <v>217</v>
      </c>
      <c r="B207" s="9">
        <v>0</v>
      </c>
      <c r="C207" s="9">
        <v>0</v>
      </c>
      <c r="D207" s="9">
        <v>0</v>
      </c>
    </row>
    <row r="208" spans="1:4" x14ac:dyDescent="0.25">
      <c r="A208" s="6" t="s">
        <v>218</v>
      </c>
      <c r="B208" s="7">
        <v>0</v>
      </c>
      <c r="C208" s="7">
        <v>0</v>
      </c>
      <c r="D208" s="7">
        <v>0</v>
      </c>
    </row>
    <row r="209" spans="1:4" x14ac:dyDescent="0.25">
      <c r="A209" s="8" t="s">
        <v>206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219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220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221</v>
      </c>
      <c r="B212" s="7">
        <v>0</v>
      </c>
      <c r="C212" s="7" t="s">
        <v>473</v>
      </c>
      <c r="D212" s="7" t="s">
        <v>474</v>
      </c>
    </row>
    <row r="213" spans="1:4" x14ac:dyDescent="0.25">
      <c r="A213" s="8" t="s">
        <v>224</v>
      </c>
      <c r="B213" s="9">
        <v>0</v>
      </c>
      <c r="C213" s="9">
        <v>0</v>
      </c>
      <c r="D213" s="9" t="s">
        <v>475</v>
      </c>
    </row>
    <row r="214" spans="1:4" x14ac:dyDescent="0.25">
      <c r="A214" s="6" t="s">
        <v>227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195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228</v>
      </c>
      <c r="B216" s="7">
        <v>0</v>
      </c>
      <c r="C216" s="7">
        <v>0</v>
      </c>
      <c r="D216" s="7" t="s">
        <v>476</v>
      </c>
    </row>
    <row r="217" spans="1:4" x14ac:dyDescent="0.25">
      <c r="A217" s="4" t="s">
        <v>229</v>
      </c>
      <c r="B217" s="5">
        <v>0</v>
      </c>
      <c r="C217" s="5" t="s">
        <v>473</v>
      </c>
      <c r="D217" s="5" t="s">
        <v>477</v>
      </c>
    </row>
    <row r="218" spans="1:4" x14ac:dyDescent="0.25">
      <c r="A218" s="4" t="s">
        <v>232</v>
      </c>
      <c r="B218" s="5">
        <v>0</v>
      </c>
      <c r="C218" s="5">
        <v>0</v>
      </c>
      <c r="D218" s="5">
        <v>0</v>
      </c>
    </row>
    <row r="219" spans="1:4" x14ac:dyDescent="0.25">
      <c r="A219" s="4" t="s">
        <v>233</v>
      </c>
      <c r="B219" s="5">
        <v>0</v>
      </c>
      <c r="C219" s="5">
        <v>0</v>
      </c>
      <c r="D219" s="5">
        <v>0</v>
      </c>
    </row>
    <row r="220" spans="1:4" x14ac:dyDescent="0.25">
      <c r="A220" s="6" t="s">
        <v>234</v>
      </c>
      <c r="B220" s="7">
        <v>0</v>
      </c>
      <c r="C220" s="7">
        <v>12431</v>
      </c>
      <c r="D220" s="7">
        <v>79923</v>
      </c>
    </row>
    <row r="221" spans="1:4" x14ac:dyDescent="0.25">
      <c r="A221" s="8" t="s">
        <v>235</v>
      </c>
      <c r="B221" s="9">
        <v>0</v>
      </c>
      <c r="C221" s="9">
        <v>0</v>
      </c>
      <c r="D221" s="9">
        <v>0</v>
      </c>
    </row>
    <row r="222" spans="1:4" x14ac:dyDescent="0.25">
      <c r="A222" s="6" t="s">
        <v>236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237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238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211</v>
      </c>
      <c r="B225" s="9">
        <v>0</v>
      </c>
      <c r="C225" s="9">
        <v>0</v>
      </c>
      <c r="D225" s="9">
        <v>0</v>
      </c>
    </row>
    <row r="226" spans="1:4" x14ac:dyDescent="0.25">
      <c r="A226" s="4" t="s">
        <v>239</v>
      </c>
      <c r="B226" s="5">
        <v>0</v>
      </c>
      <c r="C226" s="5">
        <v>0</v>
      </c>
      <c r="D226" s="5">
        <v>0</v>
      </c>
    </row>
    <row r="227" spans="1:4" x14ac:dyDescent="0.25">
      <c r="A227" s="8" t="s">
        <v>240</v>
      </c>
      <c r="B227" s="9">
        <v>0</v>
      </c>
      <c r="C227" s="9" t="s">
        <v>478</v>
      </c>
      <c r="D227" s="9" t="s">
        <v>479</v>
      </c>
    </row>
    <row r="228" spans="1:4" x14ac:dyDescent="0.25">
      <c r="A228" s="6" t="s">
        <v>243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235</v>
      </c>
      <c r="B229" s="9">
        <v>0</v>
      </c>
      <c r="C229" s="9">
        <v>0</v>
      </c>
      <c r="D229" s="9">
        <v>0</v>
      </c>
    </row>
    <row r="230" spans="1:4" x14ac:dyDescent="0.25">
      <c r="A230" s="6" t="s">
        <v>236</v>
      </c>
      <c r="B230" s="7">
        <v>0</v>
      </c>
      <c r="C230" s="7">
        <v>0</v>
      </c>
      <c r="D230" s="7">
        <v>0</v>
      </c>
    </row>
    <row r="231" spans="1:4" x14ac:dyDescent="0.25">
      <c r="A231" s="8" t="s">
        <v>244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245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246</v>
      </c>
      <c r="B233" s="9">
        <v>0</v>
      </c>
      <c r="C233" s="9" t="s">
        <v>480</v>
      </c>
      <c r="D233" s="9" t="s">
        <v>447</v>
      </c>
    </row>
    <row r="234" spans="1:4" x14ac:dyDescent="0.25">
      <c r="A234" s="6" t="s">
        <v>247</v>
      </c>
      <c r="B234" s="7">
        <v>0</v>
      </c>
      <c r="C234" s="7" t="s">
        <v>412</v>
      </c>
      <c r="D234" s="7" t="s">
        <v>481</v>
      </c>
    </row>
    <row r="235" spans="1:4" x14ac:dyDescent="0.25">
      <c r="A235" s="8" t="s">
        <v>195</v>
      </c>
      <c r="B235" s="9">
        <v>0</v>
      </c>
      <c r="C235" s="9">
        <v>0</v>
      </c>
      <c r="D235" s="9">
        <v>0</v>
      </c>
    </row>
    <row r="236" spans="1:4" x14ac:dyDescent="0.25">
      <c r="A236" s="6" t="s">
        <v>248</v>
      </c>
      <c r="B236" s="7">
        <v>0</v>
      </c>
      <c r="C236" s="7">
        <v>0</v>
      </c>
      <c r="D236" s="7">
        <v>0</v>
      </c>
    </row>
    <row r="237" spans="1:4" x14ac:dyDescent="0.25">
      <c r="A237" s="4" t="s">
        <v>249</v>
      </c>
      <c r="B237" s="5">
        <v>0</v>
      </c>
      <c r="C237" s="5" t="s">
        <v>482</v>
      </c>
      <c r="D237" s="5">
        <v>30635</v>
      </c>
    </row>
    <row r="238" spans="1:4" x14ac:dyDescent="0.25">
      <c r="A238" s="6" t="s">
        <v>250</v>
      </c>
      <c r="B238" s="7">
        <v>0</v>
      </c>
      <c r="C238" s="7" t="s">
        <v>483</v>
      </c>
      <c r="D238" s="7">
        <v>13494</v>
      </c>
    </row>
    <row r="239" spans="1:4" x14ac:dyDescent="0.25">
      <c r="A239" s="8" t="s">
        <v>253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254</v>
      </c>
      <c r="B240" s="7">
        <v>0</v>
      </c>
      <c r="C240" s="7" t="s">
        <v>483</v>
      </c>
      <c r="D240" s="7">
        <v>13494</v>
      </c>
    </row>
    <row r="241" spans="1:6" x14ac:dyDescent="0.25">
      <c r="A241" s="8" t="s">
        <v>255</v>
      </c>
      <c r="B241" s="9">
        <v>3</v>
      </c>
      <c r="C241" s="9">
        <v>19673</v>
      </c>
      <c r="D241" s="9">
        <v>6179</v>
      </c>
    </row>
    <row r="242" spans="1:6" x14ac:dyDescent="0.25">
      <c r="A242" s="4" t="s">
        <v>256</v>
      </c>
      <c r="B242" s="5">
        <v>3</v>
      </c>
      <c r="C242" s="5">
        <v>2392</v>
      </c>
      <c r="D242" s="5">
        <v>19673</v>
      </c>
    </row>
    <row r="245" spans="1:6" ht="15.75" x14ac:dyDescent="0.25">
      <c r="A245" s="2" t="s">
        <v>257</v>
      </c>
    </row>
    <row r="246" spans="1:6" x14ac:dyDescent="0.25">
      <c r="A246" s="3" t="s">
        <v>7</v>
      </c>
      <c r="B246" s="3" t="s">
        <v>8</v>
      </c>
      <c r="C246" s="3" t="s">
        <v>424</v>
      </c>
      <c r="D246" s="3" t="s">
        <v>425</v>
      </c>
      <c r="E246" s="3" t="s">
        <v>426</v>
      </c>
      <c r="F246" s="3" t="s">
        <v>427</v>
      </c>
    </row>
    <row r="247" spans="1:6" x14ac:dyDescent="0.25">
      <c r="A247" s="8" t="s">
        <v>258</v>
      </c>
      <c r="B247" s="9">
        <v>0</v>
      </c>
      <c r="C247" s="9">
        <v>2774</v>
      </c>
      <c r="D247" s="9">
        <v>246</v>
      </c>
      <c r="E247" s="9">
        <v>7044</v>
      </c>
      <c r="F247" s="9">
        <v>713</v>
      </c>
    </row>
    <row r="248" spans="1:6" x14ac:dyDescent="0.25">
      <c r="A248" s="4" t="s">
        <v>259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</row>
    <row r="249" spans="1:6" x14ac:dyDescent="0.25">
      <c r="A249" s="8" t="s">
        <v>260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</row>
    <row r="250" spans="1:6" x14ac:dyDescent="0.25">
      <c r="A250" s="6" t="s">
        <v>134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</row>
    <row r="251" spans="1:6" x14ac:dyDescent="0.25">
      <c r="A251" s="8" t="s">
        <v>261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</row>
    <row r="252" spans="1:6" x14ac:dyDescent="0.25">
      <c r="A252" s="6" t="s">
        <v>262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</row>
    <row r="253" spans="1:6" x14ac:dyDescent="0.25">
      <c r="A253" s="8" t="s">
        <v>263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</row>
    <row r="254" spans="1:6" x14ac:dyDescent="0.25">
      <c r="A254" s="6" t="s">
        <v>138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</row>
    <row r="255" spans="1:6" x14ac:dyDescent="0.25">
      <c r="A255" s="8" t="s">
        <v>264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</row>
    <row r="256" spans="1:6" x14ac:dyDescent="0.25">
      <c r="A256" s="6" t="s">
        <v>140</v>
      </c>
      <c r="B256" s="7">
        <v>0</v>
      </c>
      <c r="C256" s="7">
        <v>513</v>
      </c>
      <c r="D256" s="7" t="s">
        <v>484</v>
      </c>
      <c r="E256" s="7">
        <v>2075</v>
      </c>
      <c r="F256" s="7" t="s">
        <v>485</v>
      </c>
    </row>
    <row r="257" spans="1:6" x14ac:dyDescent="0.25">
      <c r="A257" s="4" t="s">
        <v>266</v>
      </c>
      <c r="B257" s="5">
        <v>0</v>
      </c>
      <c r="C257" s="5">
        <v>513</v>
      </c>
      <c r="D257" s="5" t="s">
        <v>484</v>
      </c>
      <c r="E257" s="5">
        <v>2075</v>
      </c>
      <c r="F257" s="5" t="s">
        <v>485</v>
      </c>
    </row>
    <row r="258" spans="1:6" x14ac:dyDescent="0.25">
      <c r="A258" s="4" t="s">
        <v>267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</row>
    <row r="259" spans="1:6" x14ac:dyDescent="0.25">
      <c r="A259" s="8" t="s">
        <v>260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</row>
    <row r="260" spans="1:6" x14ac:dyDescent="0.25">
      <c r="A260" s="6" t="s">
        <v>134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</row>
    <row r="261" spans="1:6" x14ac:dyDescent="0.25">
      <c r="A261" s="8" t="s">
        <v>261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</row>
    <row r="262" spans="1:6" x14ac:dyDescent="0.25">
      <c r="A262" s="6" t="s">
        <v>262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</row>
    <row r="263" spans="1:6" x14ac:dyDescent="0.25">
      <c r="A263" s="8" t="s">
        <v>263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</row>
    <row r="264" spans="1:6" x14ac:dyDescent="0.25">
      <c r="A264" s="6" t="s">
        <v>138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</row>
    <row r="265" spans="1:6" x14ac:dyDescent="0.25">
      <c r="A265" s="8" t="s">
        <v>264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</row>
    <row r="266" spans="1:6" x14ac:dyDescent="0.25">
      <c r="A266" s="6" t="s">
        <v>140</v>
      </c>
      <c r="B266" s="7">
        <v>0</v>
      </c>
      <c r="C266" s="7" t="s">
        <v>486</v>
      </c>
      <c r="D266" s="7">
        <v>88</v>
      </c>
      <c r="E266" s="7" t="s">
        <v>418</v>
      </c>
      <c r="F266" s="7">
        <v>424</v>
      </c>
    </row>
    <row r="267" spans="1:6" x14ac:dyDescent="0.25">
      <c r="A267" s="4" t="s">
        <v>269</v>
      </c>
      <c r="B267" s="5">
        <v>0</v>
      </c>
      <c r="C267" s="5" t="s">
        <v>486</v>
      </c>
      <c r="D267" s="5">
        <v>88</v>
      </c>
      <c r="E267" s="5" t="s">
        <v>418</v>
      </c>
      <c r="F267" s="5">
        <v>424</v>
      </c>
    </row>
    <row r="268" spans="1:6" x14ac:dyDescent="0.25">
      <c r="A268" s="4" t="s">
        <v>270</v>
      </c>
      <c r="B268" s="5">
        <v>0</v>
      </c>
      <c r="C268" s="5">
        <v>512</v>
      </c>
      <c r="D268" s="5" t="s">
        <v>487</v>
      </c>
      <c r="E268" s="5">
        <v>1669</v>
      </c>
      <c r="F268" s="5" t="s">
        <v>456</v>
      </c>
    </row>
    <row r="269" spans="1:6" x14ac:dyDescent="0.25">
      <c r="A269" s="4" t="s">
        <v>271</v>
      </c>
      <c r="B269" s="5">
        <v>0</v>
      </c>
      <c r="C269" s="5">
        <v>3286</v>
      </c>
      <c r="D269" s="5" t="s">
        <v>338</v>
      </c>
      <c r="E269" s="5">
        <v>8713</v>
      </c>
      <c r="F269" s="5" t="s">
        <v>383</v>
      </c>
    </row>
    <row r="272" spans="1:6" ht="15.75" x14ac:dyDescent="0.25">
      <c r="A272" s="2" t="s">
        <v>272</v>
      </c>
    </row>
    <row r="273" spans="1:2" x14ac:dyDescent="0.25">
      <c r="A273" s="3" t="s">
        <v>273</v>
      </c>
      <c r="B273" s="3" t="s">
        <v>274</v>
      </c>
    </row>
    <row r="274" spans="1:2" x14ac:dyDescent="0.25">
      <c r="A274" s="4" t="s">
        <v>275</v>
      </c>
      <c r="B274" s="5"/>
    </row>
    <row r="275" spans="1:2" x14ac:dyDescent="0.25">
      <c r="A275" s="8" t="s">
        <v>276</v>
      </c>
      <c r="B275" s="10">
        <v>42780.706226851798</v>
      </c>
    </row>
    <row r="276" spans="1:2" x14ac:dyDescent="0.25">
      <c r="A276" s="6" t="s">
        <v>277</v>
      </c>
      <c r="B276" s="11">
        <v>42780.703946759299</v>
      </c>
    </row>
    <row r="277" spans="1:2" x14ac:dyDescent="0.25">
      <c r="A277" s="4" t="s">
        <v>278</v>
      </c>
      <c r="B277" s="5"/>
    </row>
    <row r="278" spans="1:2" x14ac:dyDescent="0.25">
      <c r="A278" s="6" t="s">
        <v>277</v>
      </c>
      <c r="B278" s="11">
        <v>42780.704189814802</v>
      </c>
    </row>
    <row r="279" spans="1:2" x14ac:dyDescent="0.25">
      <c r="A279" s="8" t="s">
        <v>276</v>
      </c>
      <c r="B279" s="10">
        <v>42780.709791666697</v>
      </c>
    </row>
    <row r="280" spans="1:2" x14ac:dyDescent="0.25">
      <c r="A280" s="4" t="s">
        <v>279</v>
      </c>
      <c r="B280" s="5"/>
    </row>
    <row r="281" spans="1:2" x14ac:dyDescent="0.25">
      <c r="A281" s="8" t="s">
        <v>276</v>
      </c>
      <c r="B281" s="10">
        <v>42780.7101273148</v>
      </c>
    </row>
    <row r="282" spans="1:2" x14ac:dyDescent="0.25">
      <c r="A282" s="6" t="s">
        <v>277</v>
      </c>
      <c r="B282" s="11">
        <v>42780.7046064815</v>
      </c>
    </row>
    <row r="283" spans="1:2" x14ac:dyDescent="0.25">
      <c r="A283" s="4" t="s">
        <v>280</v>
      </c>
      <c r="B283" s="5"/>
    </row>
    <row r="284" spans="1:2" x14ac:dyDescent="0.25">
      <c r="A284" s="6" t="s">
        <v>277</v>
      </c>
      <c r="B284" s="11">
        <v>42780.704953703702</v>
      </c>
    </row>
    <row r="285" spans="1:2" x14ac:dyDescent="0.25">
      <c r="A285" s="8" t="s">
        <v>276</v>
      </c>
      <c r="B285" s="10">
        <v>42780.710497685199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B2627-DB9F-40B9-8261-CD20B28351BF}">
  <dimension ref="A1:AD109"/>
  <sheetViews>
    <sheetView zoomScale="115" zoomScaleNormal="115" workbookViewId="0">
      <pane xSplit="1" ySplit="2" topLeftCell="B94" activePane="bottomRight" state="frozen"/>
      <selection pane="topRight" activeCell="B1" sqref="B1"/>
      <selection pane="bottomLeft" activeCell="A3" sqref="A3"/>
      <selection pane="bottomRight" activeCell="AC72" sqref="B72:AC109"/>
    </sheetView>
  </sheetViews>
  <sheetFormatPr defaultColWidth="10.42578125" defaultRowHeight="15" x14ac:dyDescent="0.25"/>
  <cols>
    <col min="1" max="1" width="89.5703125" customWidth="1"/>
    <col min="2" max="2" width="10.7109375" style="13" customWidth="1"/>
    <col min="3" max="29" width="10.42578125" style="13"/>
    <col min="30" max="16384" width="10.42578125" style="12"/>
  </cols>
  <sheetData>
    <row r="1" spans="1:30" x14ac:dyDescent="0.25">
      <c r="A1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30" x14ac:dyDescent="0.25">
      <c r="B2" s="12" t="str">
        <f>2016+INT((COLUMN(A1)-1)/4)&amp;"-Q"&amp;MOD(COLUMN(A1)-1,4)+1</f>
        <v>2016-Q1</v>
      </c>
      <c r="C2" s="12" t="str">
        <f>2016+INT((COLUMN(B1)-1)/4)&amp;"-Q"&amp;MOD(COLUMN(B1)-1,4)+1</f>
        <v>2016-Q2</v>
      </c>
      <c r="D2" s="12" t="str">
        <f t="shared" ref="D2:T2" si="0">2016+INT((COLUMN(C1)-1)/4)&amp;"-Q"&amp;MOD(COLUMN(C1)-1,4)+1</f>
        <v>2016-Q3</v>
      </c>
      <c r="E2" s="12" t="str">
        <f t="shared" si="0"/>
        <v>2016-Q4</v>
      </c>
      <c r="F2" s="12" t="str">
        <f>2016+INT((COLUMN(E1)-1)/4)&amp;"-Q"&amp;MOD(COLUMN(E1)-1,4)+1</f>
        <v>2017-Q1</v>
      </c>
      <c r="G2" s="12" t="str">
        <f t="shared" si="0"/>
        <v>2017-Q2</v>
      </c>
      <c r="H2" s="12" t="str">
        <f t="shared" si="0"/>
        <v>2017-Q3</v>
      </c>
      <c r="I2" s="12" t="str">
        <f t="shared" si="0"/>
        <v>2017-Q4</v>
      </c>
      <c r="J2" s="12" t="str">
        <f>2016+INT((COLUMN(I1)-1)/4)&amp;"-Q"&amp;MOD(COLUMN(I1)-1,4)+1</f>
        <v>2018-Q1</v>
      </c>
      <c r="K2" s="12" t="str">
        <f t="shared" si="0"/>
        <v>2018-Q2</v>
      </c>
      <c r="L2" s="12" t="str">
        <f t="shared" si="0"/>
        <v>2018-Q3</v>
      </c>
      <c r="M2" s="12" t="str">
        <f t="shared" si="0"/>
        <v>2018-Q4</v>
      </c>
      <c r="N2" s="12" t="str">
        <f>2016+INT((COLUMN(M1)-1)/4)&amp;"-Q"&amp;MOD(COLUMN(M1)-1,4)+1</f>
        <v>2019-Q1</v>
      </c>
      <c r="O2" s="12" t="str">
        <f t="shared" si="0"/>
        <v>2019-Q2</v>
      </c>
      <c r="P2" s="12" t="str">
        <f t="shared" si="0"/>
        <v>2019-Q3</v>
      </c>
      <c r="Q2" s="12" t="str">
        <f t="shared" si="0"/>
        <v>2019-Q4</v>
      </c>
      <c r="R2" s="12" t="str">
        <f>2016+INT((COLUMN(Q1)-1)/4)&amp;"-Q"&amp;MOD(COLUMN(Q1)-1,4)+1</f>
        <v>2020-Q1</v>
      </c>
      <c r="S2" s="12" t="str">
        <f t="shared" si="0"/>
        <v>2020-Q2</v>
      </c>
      <c r="T2" s="12" t="str">
        <f t="shared" si="0"/>
        <v>2020-Q3</v>
      </c>
      <c r="U2" s="12" t="str">
        <f>2016+INT((COLUMN(T1)-1)/4)&amp;"-Q"&amp;MOD(COLUMN(T1)-1,4)+1</f>
        <v>2020-Q4</v>
      </c>
      <c r="V2" s="12" t="str">
        <f>2016+INT((COLUMN(U1)-1)/4)&amp;"-Q"&amp;MOD(COLUMN(U1)-1,4)+1</f>
        <v>2021-Q1</v>
      </c>
      <c r="W2" s="12" t="str">
        <f t="shared" ref="W2:Y2" si="1">2016+INT((COLUMN(V1)-1)/4)&amp;"-Q"&amp;MOD(COLUMN(V1)-1,4)+1</f>
        <v>2021-Q2</v>
      </c>
      <c r="X2" s="12" t="str">
        <f t="shared" si="1"/>
        <v>2021-Q3</v>
      </c>
      <c r="Y2" s="12" t="str">
        <f t="shared" si="1"/>
        <v>2021-Q4</v>
      </c>
      <c r="Z2" s="12" t="str">
        <f>2016+INT((COLUMN(Y1)-1)/4)&amp;"-Q"&amp;MOD(COLUMN(Y1)-1,4)+1</f>
        <v>2022-Q1</v>
      </c>
      <c r="AA2" s="12" t="str">
        <f>2016+INT((COLUMN(Z1)-1)/4)&amp;"-Q"&amp;MOD(COLUMN(Z1)-1,4)+1</f>
        <v>2022-Q2</v>
      </c>
      <c r="AB2" s="12" t="str">
        <f t="shared" ref="AB2" si="2">2016+INT((COLUMN(AA1)-1)/4)&amp;"-Q"&amp;MOD(COLUMN(AA1)-1,4)+1</f>
        <v>2022-Q3</v>
      </c>
      <c r="AC2" s="12" t="str">
        <f>2016+INT((COLUMN(AB1)-1)/4)&amp;"-Q"&amp;MOD(COLUMN(AB1)-1,4)+1</f>
        <v>2022-Q4</v>
      </c>
    </row>
    <row r="3" spans="1:30" x14ac:dyDescent="0.25">
      <c r="A3" t="s">
        <v>1121</v>
      </c>
    </row>
    <row r="4" spans="1:30" x14ac:dyDescent="0.25">
      <c r="A4" s="3" t="s">
        <v>7</v>
      </c>
    </row>
    <row r="5" spans="1:30" x14ac:dyDescent="0.25">
      <c r="A5" s="4" t="s">
        <v>78</v>
      </c>
      <c r="B5" s="14">
        <v>28755</v>
      </c>
      <c r="C5" s="14">
        <v>37458</v>
      </c>
      <c r="D5" s="14">
        <v>43791</v>
      </c>
      <c r="E5" s="14">
        <v>38897</v>
      </c>
      <c r="F5" s="14">
        <v>30883</v>
      </c>
      <c r="G5" s="14">
        <v>40372</v>
      </c>
      <c r="H5" s="14">
        <v>44899</v>
      </c>
      <c r="I5" s="14">
        <v>39759</v>
      </c>
      <c r="J5" s="14">
        <v>34394</v>
      </c>
      <c r="K5" s="14">
        <v>41457</v>
      </c>
      <c r="L5" s="14">
        <v>47769</v>
      </c>
      <c r="M5" s="14">
        <v>44534</v>
      </c>
      <c r="N5" s="14">
        <v>37259</v>
      </c>
      <c r="O5" s="14">
        <v>47991</v>
      </c>
      <c r="P5" s="14">
        <v>52862</v>
      </c>
      <c r="Q5" s="14">
        <v>45397</v>
      </c>
      <c r="R5" s="14">
        <v>33728</v>
      </c>
      <c r="S5" s="14">
        <v>15592</v>
      </c>
      <c r="T5" s="14">
        <v>21589</v>
      </c>
      <c r="U5" s="14">
        <v>18713</v>
      </c>
      <c r="V5" s="14">
        <v>15407</v>
      </c>
      <c r="W5" s="14">
        <v>17659</v>
      </c>
      <c r="X5" s="14">
        <v>25712</v>
      </c>
      <c r="Y5" s="14">
        <v>29569</v>
      </c>
      <c r="Z5" s="14">
        <v>26669</v>
      </c>
      <c r="AA5" s="14">
        <v>37701</v>
      </c>
      <c r="AB5" s="14">
        <v>47668</v>
      </c>
      <c r="AC5" s="14">
        <v>40161</v>
      </c>
      <c r="AD5" s="13"/>
    </row>
    <row r="6" spans="1:30" x14ac:dyDescent="0.25">
      <c r="A6" s="6" t="s">
        <v>79</v>
      </c>
      <c r="B6" s="15">
        <v>-19808</v>
      </c>
      <c r="C6" s="15">
        <v>-23232</v>
      </c>
      <c r="D6" s="15">
        <v>-25183</v>
      </c>
      <c r="E6" s="15">
        <v>-24445</v>
      </c>
      <c r="F6" s="15">
        <v>-22371</v>
      </c>
      <c r="G6" s="15">
        <v>-23893</v>
      </c>
      <c r="H6" s="15">
        <v>-26568</v>
      </c>
      <c r="I6" s="15">
        <v>-26365</v>
      </c>
      <c r="J6" s="15">
        <v>-24351</v>
      </c>
      <c r="K6" s="15">
        <v>-27486</v>
      </c>
      <c r="L6" s="15">
        <v>-29906</v>
      </c>
      <c r="M6" s="15">
        <v>-29928</v>
      </c>
      <c r="N6" s="15">
        <v>-27217</v>
      </c>
      <c r="O6" s="15">
        <v>-30562</v>
      </c>
      <c r="P6" s="15">
        <v>-32781</v>
      </c>
      <c r="Q6" s="15">
        <v>-30829</v>
      </c>
      <c r="R6" s="15">
        <v>-31059</v>
      </c>
      <c r="S6" s="15">
        <v>-13523</v>
      </c>
      <c r="T6" s="15">
        <v>-20393</v>
      </c>
      <c r="U6" s="15">
        <v>-19295</v>
      </c>
      <c r="V6" s="15">
        <v>-16809</v>
      </c>
      <c r="W6" s="15">
        <v>-18128</v>
      </c>
      <c r="X6" s="15">
        <v>-20461</v>
      </c>
      <c r="Y6" s="15">
        <v>-22703</v>
      </c>
      <c r="Z6" s="15">
        <v>-22466</v>
      </c>
      <c r="AA6" s="15">
        <v>-26699</v>
      </c>
      <c r="AB6" s="15">
        <v>-29514</v>
      </c>
      <c r="AC6" s="15">
        <v>-29420</v>
      </c>
      <c r="AD6" s="13"/>
    </row>
    <row r="7" spans="1:30" s="25" customFormat="1" x14ac:dyDescent="0.25">
      <c r="A7" s="22" t="s">
        <v>82</v>
      </c>
      <c r="B7" s="23">
        <f>+B5+B6</f>
        <v>8947</v>
      </c>
      <c r="C7" s="23">
        <f t="shared" ref="C7:E7" si="3">+C5+C6</f>
        <v>14226</v>
      </c>
      <c r="D7" s="23">
        <f t="shared" si="3"/>
        <v>18608</v>
      </c>
      <c r="E7" s="23">
        <f t="shared" si="3"/>
        <v>14452</v>
      </c>
      <c r="F7" s="23">
        <v>8512</v>
      </c>
      <c r="G7" s="23">
        <v>16479</v>
      </c>
      <c r="H7" s="23">
        <v>18331</v>
      </c>
      <c r="I7" s="23">
        <v>13394</v>
      </c>
      <c r="J7" s="23">
        <v>10043</v>
      </c>
      <c r="K7" s="23">
        <v>13971</v>
      </c>
      <c r="L7" s="23">
        <v>17863</v>
      </c>
      <c r="M7" s="23">
        <v>14606</v>
      </c>
      <c r="N7" s="23">
        <v>10042</v>
      </c>
      <c r="O7" s="23">
        <v>17429</v>
      </c>
      <c r="P7" s="23">
        <v>20081</v>
      </c>
      <c r="Q7" s="23">
        <v>14568</v>
      </c>
      <c r="R7" s="23">
        <v>2669</v>
      </c>
      <c r="S7" s="23">
        <v>2069</v>
      </c>
      <c r="T7" s="23">
        <v>1196</v>
      </c>
      <c r="U7" s="23">
        <v>-582</v>
      </c>
      <c r="V7" s="23">
        <v>-1402</v>
      </c>
      <c r="W7" s="23">
        <v>-469</v>
      </c>
      <c r="X7" s="23">
        <v>5251</v>
      </c>
      <c r="Y7" s="23">
        <v>6866</v>
      </c>
      <c r="Z7" s="23">
        <v>4203</v>
      </c>
      <c r="AA7" s="23">
        <v>11002</v>
      </c>
      <c r="AB7" s="23">
        <v>18154</v>
      </c>
      <c r="AC7" s="23">
        <v>10741</v>
      </c>
      <c r="AD7" s="24"/>
    </row>
    <row r="8" spans="1:30" s="21" customFormat="1" x14ac:dyDescent="0.25">
      <c r="A8" s="19" t="s">
        <v>1727</v>
      </c>
      <c r="B8" s="26">
        <f t="shared" ref="B8:AC8" si="4">+B7/B5</f>
        <v>0.31114588767170925</v>
      </c>
      <c r="C8" s="26">
        <f t="shared" si="4"/>
        <v>0.37978535960275511</v>
      </c>
      <c r="D8" s="26">
        <f t="shared" si="4"/>
        <v>0.42492749651754924</v>
      </c>
      <c r="E8" s="26">
        <f t="shared" si="4"/>
        <v>0.3715453633956346</v>
      </c>
      <c r="F8" s="26">
        <f t="shared" si="4"/>
        <v>0.27562089175274423</v>
      </c>
      <c r="G8" s="26">
        <f t="shared" si="4"/>
        <v>0.40817893589616566</v>
      </c>
      <c r="H8" s="26">
        <f t="shared" si="4"/>
        <v>0.40827189915142875</v>
      </c>
      <c r="I8" s="26">
        <f t="shared" si="4"/>
        <v>0.33687970019366686</v>
      </c>
      <c r="J8" s="26">
        <f t="shared" si="4"/>
        <v>0.29199860440774555</v>
      </c>
      <c r="K8" s="26">
        <f t="shared" si="4"/>
        <v>0.33699978290759097</v>
      </c>
      <c r="L8" s="26">
        <f t="shared" si="4"/>
        <v>0.37394544579120348</v>
      </c>
      <c r="M8" s="26">
        <f t="shared" si="4"/>
        <v>0.32797413212377058</v>
      </c>
      <c r="N8" s="26">
        <f t="shared" si="4"/>
        <v>0.26951877398749297</v>
      </c>
      <c r="O8" s="26">
        <f t="shared" si="4"/>
        <v>0.36317226146569148</v>
      </c>
      <c r="P8" s="26">
        <f t="shared" si="4"/>
        <v>0.37987590329537285</v>
      </c>
      <c r="Q8" s="26">
        <f t="shared" si="4"/>
        <v>0.32090226226402624</v>
      </c>
      <c r="R8" s="26">
        <f t="shared" si="4"/>
        <v>7.9133064516129031E-2</v>
      </c>
      <c r="S8" s="26">
        <f t="shared" si="4"/>
        <v>0.13269625448948177</v>
      </c>
      <c r="T8" s="26">
        <f t="shared" si="4"/>
        <v>5.5398582611515125E-2</v>
      </c>
      <c r="U8" s="26">
        <f t="shared" si="4"/>
        <v>-3.110137337679688E-2</v>
      </c>
      <c r="V8" s="26">
        <f t="shared" si="4"/>
        <v>-9.0997598494190951E-2</v>
      </c>
      <c r="W8" s="26">
        <f t="shared" si="4"/>
        <v>-2.6558695282858598E-2</v>
      </c>
      <c r="X8" s="26">
        <f t="shared" si="4"/>
        <v>0.20422370877411325</v>
      </c>
      <c r="Y8" s="26">
        <f t="shared" si="4"/>
        <v>0.23220264466163887</v>
      </c>
      <c r="Z8" s="26">
        <f t="shared" si="4"/>
        <v>0.15759871011286514</v>
      </c>
      <c r="AA8" s="26">
        <f t="shared" si="4"/>
        <v>0.29182249807697408</v>
      </c>
      <c r="AB8" s="26">
        <f t="shared" si="4"/>
        <v>0.38084249391625408</v>
      </c>
      <c r="AC8" s="26">
        <f t="shared" si="4"/>
        <v>0.26744851970817457</v>
      </c>
      <c r="AD8" s="20"/>
    </row>
    <row r="9" spans="1:30" s="25" customFormat="1" x14ac:dyDescent="0.25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4"/>
    </row>
    <row r="10" spans="1:30" x14ac:dyDescent="0.25">
      <c r="A10" s="27" t="s">
        <v>1724</v>
      </c>
      <c r="B10" s="15">
        <v>-1611</v>
      </c>
      <c r="C10" s="15">
        <v>-1587</v>
      </c>
      <c r="D10" s="15">
        <v>-1432</v>
      </c>
      <c r="E10" s="15">
        <v>-1354</v>
      </c>
      <c r="F10" s="15">
        <v>-1820</v>
      </c>
      <c r="G10" s="15">
        <v>-1856</v>
      </c>
      <c r="H10" s="15">
        <v>-1547</v>
      </c>
      <c r="I10" s="15">
        <v>-1967</v>
      </c>
      <c r="J10" s="15">
        <v>-2335</v>
      </c>
      <c r="K10" s="15">
        <v>-2294</v>
      </c>
      <c r="L10" s="15">
        <v>-2151</v>
      </c>
      <c r="M10" s="15">
        <v>-1795</v>
      </c>
      <c r="N10" s="15">
        <v>-2582</v>
      </c>
      <c r="O10" s="15">
        <v>-2127</v>
      </c>
      <c r="P10" s="15">
        <v>-1892</v>
      </c>
      <c r="Q10" s="15">
        <v>-3534</v>
      </c>
      <c r="R10" s="15">
        <v>-2462</v>
      </c>
      <c r="S10" s="15">
        <v>-451</v>
      </c>
      <c r="T10" s="15">
        <v>-1389</v>
      </c>
      <c r="U10" s="15">
        <v>-1162</v>
      </c>
      <c r="V10" s="15">
        <v>-1050</v>
      </c>
      <c r="W10" s="15">
        <v>-1252</v>
      </c>
      <c r="X10" s="15">
        <v>-1173</v>
      </c>
      <c r="Y10" s="15">
        <v>-1144</v>
      </c>
      <c r="Z10" s="15">
        <v>-1190</v>
      </c>
      <c r="AA10" s="15">
        <v>-1298</v>
      </c>
      <c r="AB10" s="15">
        <v>-1945</v>
      </c>
      <c r="AC10" s="15">
        <v>-1882</v>
      </c>
      <c r="AD10" s="13"/>
    </row>
    <row r="11" spans="1:30" x14ac:dyDescent="0.25">
      <c r="A11" s="27" t="s">
        <v>1725</v>
      </c>
      <c r="B11" s="16">
        <v>-7758</v>
      </c>
      <c r="C11" s="16">
        <v>-9526</v>
      </c>
      <c r="D11" s="16">
        <v>-8696</v>
      </c>
      <c r="E11" s="16">
        <v>-8342</v>
      </c>
      <c r="F11" s="16">
        <v>-9017</v>
      </c>
      <c r="G11" s="16">
        <v>-8585</v>
      </c>
      <c r="H11" s="16">
        <v>-9116</v>
      </c>
      <c r="I11" s="16">
        <v>-10451</v>
      </c>
      <c r="J11" s="16">
        <v>-10339</v>
      </c>
      <c r="K11" s="16">
        <v>-9508</v>
      </c>
      <c r="L11" s="16">
        <v>-9967</v>
      </c>
      <c r="M11" s="16">
        <v>-10487</v>
      </c>
      <c r="N11" s="16">
        <v>-10918</v>
      </c>
      <c r="O11" s="16">
        <v>-10597</v>
      </c>
      <c r="P11" s="16">
        <v>-10807</v>
      </c>
      <c r="Q11" s="16">
        <v>-10713</v>
      </c>
      <c r="R11" s="16">
        <v>-7032</v>
      </c>
      <c r="S11" s="16">
        <v>-9109</v>
      </c>
      <c r="T11" s="16">
        <v>-8260</v>
      </c>
      <c r="U11" s="16">
        <v>-7612</v>
      </c>
      <c r="V11" s="16">
        <v>-5882</v>
      </c>
      <c r="W11" s="16">
        <v>-5958</v>
      </c>
      <c r="X11" s="16">
        <v>-6299</v>
      </c>
      <c r="Y11" s="16">
        <v>-8660</v>
      </c>
      <c r="Z11" s="16">
        <v>-5493</v>
      </c>
      <c r="AA11" s="16">
        <v>-6451</v>
      </c>
      <c r="AB11" s="16">
        <v>-6998</v>
      </c>
      <c r="AC11" s="16">
        <v>-6904</v>
      </c>
      <c r="AD11" s="13"/>
    </row>
    <row r="12" spans="1:30" x14ac:dyDescent="0.25">
      <c r="A12" s="8" t="s">
        <v>90</v>
      </c>
      <c r="B12" s="16">
        <v>0</v>
      </c>
      <c r="C12" s="16">
        <v>0</v>
      </c>
      <c r="D12" s="16">
        <v>0</v>
      </c>
      <c r="E12" s="16">
        <v>1852</v>
      </c>
      <c r="F12" s="16">
        <v>222</v>
      </c>
      <c r="G12" s="16">
        <v>430</v>
      </c>
      <c r="H12" s="16">
        <v>553</v>
      </c>
      <c r="I12" s="16">
        <v>4225</v>
      </c>
      <c r="J12" s="16">
        <v>125</v>
      </c>
      <c r="K12" s="16">
        <v>637</v>
      </c>
      <c r="L12" s="16">
        <v>968</v>
      </c>
      <c r="M12" s="16">
        <v>2512</v>
      </c>
      <c r="N12" s="16">
        <v>134</v>
      </c>
      <c r="O12" s="16">
        <v>267</v>
      </c>
      <c r="P12" s="16">
        <v>253</v>
      </c>
      <c r="Q12" s="16">
        <v>1595</v>
      </c>
      <c r="R12" s="16">
        <v>1266</v>
      </c>
      <c r="S12" s="16">
        <v>134</v>
      </c>
      <c r="T12" s="16">
        <v>5209</v>
      </c>
      <c r="U12" s="16">
        <v>470</v>
      </c>
      <c r="V12" s="16">
        <v>234</v>
      </c>
      <c r="W12" s="16">
        <v>766</v>
      </c>
      <c r="X12" s="16">
        <v>477</v>
      </c>
      <c r="Y12" s="16">
        <v>1365</v>
      </c>
      <c r="Z12" s="16">
        <v>403</v>
      </c>
      <c r="AA12" s="16">
        <v>309</v>
      </c>
      <c r="AB12" s="16">
        <v>1494</v>
      </c>
      <c r="AC12" s="16">
        <v>1599</v>
      </c>
      <c r="AD12" s="13"/>
    </row>
    <row r="13" spans="1:30" x14ac:dyDescent="0.25">
      <c r="A13" s="6" t="s">
        <v>91</v>
      </c>
      <c r="B13" s="15">
        <v>-269</v>
      </c>
      <c r="C13" s="15">
        <v>-219</v>
      </c>
      <c r="D13" s="15">
        <v>-295</v>
      </c>
      <c r="E13" s="15">
        <v>-352</v>
      </c>
      <c r="F13" s="15">
        <v>-310</v>
      </c>
      <c r="G13" s="15">
        <v>-477</v>
      </c>
      <c r="H13" s="15">
        <v>-854</v>
      </c>
      <c r="I13" s="15">
        <v>-134</v>
      </c>
      <c r="J13" s="15">
        <v>-419</v>
      </c>
      <c r="K13" s="15">
        <v>-354</v>
      </c>
      <c r="L13" s="15">
        <v>-770</v>
      </c>
      <c r="M13" s="15">
        <v>-1475</v>
      </c>
      <c r="N13" s="15">
        <v>-438</v>
      </c>
      <c r="O13" s="15">
        <v>-492</v>
      </c>
      <c r="P13" s="15">
        <v>-557</v>
      </c>
      <c r="Q13" s="15">
        <v>-1141</v>
      </c>
      <c r="R13" s="15">
        <v>-442</v>
      </c>
      <c r="S13" s="15">
        <v>-40</v>
      </c>
      <c r="T13" s="15">
        <v>-463</v>
      </c>
      <c r="U13" s="15">
        <v>-991</v>
      </c>
      <c r="V13" s="15">
        <v>-251</v>
      </c>
      <c r="W13" s="15">
        <v>-64</v>
      </c>
      <c r="X13" s="15">
        <v>-599</v>
      </c>
      <c r="Y13" s="15">
        <v>-388</v>
      </c>
      <c r="Z13" s="15">
        <v>-278</v>
      </c>
      <c r="AA13" s="15">
        <v>-1853</v>
      </c>
      <c r="AB13" s="15">
        <v>-1558</v>
      </c>
      <c r="AC13" s="15">
        <v>-812</v>
      </c>
      <c r="AD13" s="13"/>
    </row>
    <row r="14" spans="1:30" x14ac:dyDescent="0.25">
      <c r="A14" s="17" t="s">
        <v>1726</v>
      </c>
      <c r="B14" s="18">
        <f>+SUM(B10:B13)</f>
        <v>-9638</v>
      </c>
      <c r="C14" s="18">
        <f t="shared" ref="C14:AC14" si="5">+SUM(C10:C13)</f>
        <v>-11332</v>
      </c>
      <c r="D14" s="18">
        <f t="shared" si="5"/>
        <v>-10423</v>
      </c>
      <c r="E14" s="18">
        <f t="shared" si="5"/>
        <v>-8196</v>
      </c>
      <c r="F14" s="18">
        <f t="shared" si="5"/>
        <v>-10925</v>
      </c>
      <c r="G14" s="18">
        <f t="shared" si="5"/>
        <v>-10488</v>
      </c>
      <c r="H14" s="18">
        <f t="shared" si="5"/>
        <v>-10964</v>
      </c>
      <c r="I14" s="18">
        <f t="shared" si="5"/>
        <v>-8327</v>
      </c>
      <c r="J14" s="18">
        <f t="shared" si="5"/>
        <v>-12968</v>
      </c>
      <c r="K14" s="18">
        <f t="shared" si="5"/>
        <v>-11519</v>
      </c>
      <c r="L14" s="18">
        <f t="shared" si="5"/>
        <v>-11920</v>
      </c>
      <c r="M14" s="18">
        <f t="shared" si="5"/>
        <v>-11245</v>
      </c>
      <c r="N14" s="18">
        <f t="shared" si="5"/>
        <v>-13804</v>
      </c>
      <c r="O14" s="18">
        <f t="shared" si="5"/>
        <v>-12949</v>
      </c>
      <c r="P14" s="18">
        <f t="shared" si="5"/>
        <v>-13003</v>
      </c>
      <c r="Q14" s="18">
        <f t="shared" si="5"/>
        <v>-13793</v>
      </c>
      <c r="R14" s="18">
        <f t="shared" si="5"/>
        <v>-8670</v>
      </c>
      <c r="S14" s="18">
        <f t="shared" si="5"/>
        <v>-9466</v>
      </c>
      <c r="T14" s="18">
        <f t="shared" si="5"/>
        <v>-4903</v>
      </c>
      <c r="U14" s="18">
        <f t="shared" si="5"/>
        <v>-9295</v>
      </c>
      <c r="V14" s="18">
        <f t="shared" si="5"/>
        <v>-6949</v>
      </c>
      <c r="W14" s="18">
        <f t="shared" si="5"/>
        <v>-6508</v>
      </c>
      <c r="X14" s="18">
        <f t="shared" si="5"/>
        <v>-7594</v>
      </c>
      <c r="Y14" s="18">
        <f t="shared" si="5"/>
        <v>-8827</v>
      </c>
      <c r="Z14" s="18">
        <f t="shared" si="5"/>
        <v>-6558</v>
      </c>
      <c r="AA14" s="18">
        <f t="shared" si="5"/>
        <v>-9293</v>
      </c>
      <c r="AB14" s="18">
        <f t="shared" si="5"/>
        <v>-9007</v>
      </c>
      <c r="AC14" s="18">
        <f t="shared" si="5"/>
        <v>-7999</v>
      </c>
      <c r="AD14" s="13"/>
    </row>
    <row r="15" spans="1:30" x14ac:dyDescent="0.25">
      <c r="A15" s="6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3"/>
    </row>
    <row r="16" spans="1:30" s="25" customFormat="1" x14ac:dyDescent="0.25">
      <c r="A16" s="22" t="s">
        <v>1729</v>
      </c>
      <c r="B16" s="23">
        <f t="shared" ref="B16:AC16" si="6">+SUM(B7,B10:B13)</f>
        <v>-691</v>
      </c>
      <c r="C16" s="23">
        <f t="shared" si="6"/>
        <v>2894</v>
      </c>
      <c r="D16" s="23">
        <f t="shared" si="6"/>
        <v>8185</v>
      </c>
      <c r="E16" s="23">
        <f t="shared" si="6"/>
        <v>6256</v>
      </c>
      <c r="F16" s="23">
        <f t="shared" si="6"/>
        <v>-2413</v>
      </c>
      <c r="G16" s="23">
        <f t="shared" si="6"/>
        <v>5991</v>
      </c>
      <c r="H16" s="23">
        <f t="shared" si="6"/>
        <v>7367</v>
      </c>
      <c r="I16" s="23">
        <f t="shared" si="6"/>
        <v>5067</v>
      </c>
      <c r="J16" s="23">
        <f t="shared" si="6"/>
        <v>-2925</v>
      </c>
      <c r="K16" s="23">
        <f t="shared" si="6"/>
        <v>2452</v>
      </c>
      <c r="L16" s="23">
        <f t="shared" si="6"/>
        <v>5943</v>
      </c>
      <c r="M16" s="23">
        <f t="shared" si="6"/>
        <v>3361</v>
      </c>
      <c r="N16" s="23">
        <f t="shared" si="6"/>
        <v>-3762</v>
      </c>
      <c r="O16" s="23">
        <f t="shared" si="6"/>
        <v>4480</v>
      </c>
      <c r="P16" s="23">
        <f t="shared" si="6"/>
        <v>7078</v>
      </c>
      <c r="Q16" s="23">
        <f t="shared" si="6"/>
        <v>775</v>
      </c>
      <c r="R16" s="23">
        <f t="shared" si="6"/>
        <v>-6001</v>
      </c>
      <c r="S16" s="23">
        <f t="shared" si="6"/>
        <v>-7397</v>
      </c>
      <c r="T16" s="23">
        <f t="shared" si="6"/>
        <v>-3707</v>
      </c>
      <c r="U16" s="23">
        <f t="shared" si="6"/>
        <v>-9877</v>
      </c>
      <c r="V16" s="23">
        <f t="shared" si="6"/>
        <v>-8351</v>
      </c>
      <c r="W16" s="23">
        <f t="shared" si="6"/>
        <v>-6977</v>
      </c>
      <c r="X16" s="23">
        <f t="shared" si="6"/>
        <v>-2343</v>
      </c>
      <c r="Y16" s="23">
        <f t="shared" si="6"/>
        <v>-1961</v>
      </c>
      <c r="Z16" s="23">
        <f t="shared" si="6"/>
        <v>-2355</v>
      </c>
      <c r="AA16" s="23">
        <f t="shared" si="6"/>
        <v>1709</v>
      </c>
      <c r="AB16" s="23">
        <f t="shared" si="6"/>
        <v>9147</v>
      </c>
      <c r="AC16" s="23">
        <f t="shared" si="6"/>
        <v>2742</v>
      </c>
      <c r="AD16" s="24"/>
    </row>
    <row r="17" spans="1:30" x14ac:dyDescent="0.25">
      <c r="A17" s="4" t="s">
        <v>1730</v>
      </c>
      <c r="B17" s="14">
        <f>(2835+131)</f>
        <v>2966</v>
      </c>
      <c r="C17" s="14">
        <f>5789+487-B17</f>
        <v>3310</v>
      </c>
      <c r="D17" s="14">
        <f>8992+845-C17-B17</f>
        <v>3561</v>
      </c>
      <c r="E17" s="14">
        <f>13323+1213-SUM(B17:D17)</f>
        <v>4699</v>
      </c>
      <c r="F17" s="14">
        <f>3780+387</f>
        <v>4167</v>
      </c>
      <c r="G17" s="14">
        <f>7729+791-F17</f>
        <v>4353</v>
      </c>
      <c r="H17" s="14">
        <f>12043+1202-SUM(F17:G17)</f>
        <v>4725</v>
      </c>
      <c r="I17" s="14">
        <f>16383+2276-SUM(F17:H17)</f>
        <v>5414</v>
      </c>
      <c r="J17" s="14">
        <f>4646+802</f>
        <v>5448</v>
      </c>
      <c r="K17" s="14">
        <f>9352+1598-J17</f>
        <v>5502</v>
      </c>
      <c r="L17" s="14">
        <f>14359+2383-SUM(J17:K17)</f>
        <v>5792</v>
      </c>
      <c r="M17" s="14">
        <f>20743+3173-SUM(J17:L17)</f>
        <v>7174</v>
      </c>
      <c r="N17" s="14">
        <f>9350+920</f>
        <v>10270</v>
      </c>
      <c r="O17" s="14">
        <f>18986+1863-N17</f>
        <v>10579</v>
      </c>
      <c r="P17" s="14">
        <f>28971+3110-SUM(N17:O17)</f>
        <v>11232</v>
      </c>
      <c r="Q17" s="14">
        <f>39795+7481-SUM(N17:P17)</f>
        <v>15195</v>
      </c>
      <c r="R17" s="14">
        <f>7098+273</f>
        <v>7371</v>
      </c>
      <c r="S17" s="14">
        <f>14124+457-R17</f>
        <v>7210</v>
      </c>
      <c r="T17" s="14">
        <f>21121+699-SUM(R17:S17)</f>
        <v>7239</v>
      </c>
      <c r="U17" s="14">
        <f>30180+1004-SUM(R17:T17)</f>
        <v>9364</v>
      </c>
      <c r="V17" s="14">
        <f>5932+178</f>
        <v>6110</v>
      </c>
      <c r="W17" s="14">
        <f>9756+366-V17</f>
        <v>4012</v>
      </c>
      <c r="X17" s="14">
        <f>17904+678-SUM(V17:W17)</f>
        <v>8460</v>
      </c>
      <c r="Y17" s="14">
        <f>23129+2127-SUM(V17:X17)</f>
        <v>6674</v>
      </c>
      <c r="Z17" s="14">
        <f>5104+243</f>
        <v>5347</v>
      </c>
      <c r="AA17" s="14">
        <f>9964+560-Z17</f>
        <v>5177</v>
      </c>
      <c r="AB17" s="14">
        <f>14625+1014-SUM(Z17:AA17)</f>
        <v>5115</v>
      </c>
      <c r="AC17" s="14">
        <f>19253+1465-SUM(Z17:AB17)</f>
        <v>5079</v>
      </c>
      <c r="AD17" s="13"/>
    </row>
    <row r="18" spans="1:30" s="25" customFormat="1" x14ac:dyDescent="0.25">
      <c r="A18" s="22" t="s">
        <v>1728</v>
      </c>
      <c r="B18" s="23">
        <f>+SUM(B16:B17)</f>
        <v>2275</v>
      </c>
      <c r="C18" s="23">
        <f t="shared" ref="C18:AC18" si="7">+SUM(C16:C17)</f>
        <v>6204</v>
      </c>
      <c r="D18" s="23">
        <f t="shared" si="7"/>
        <v>11746</v>
      </c>
      <c r="E18" s="23">
        <f t="shared" si="7"/>
        <v>10955</v>
      </c>
      <c r="F18" s="23">
        <f t="shared" si="7"/>
        <v>1754</v>
      </c>
      <c r="G18" s="23">
        <f t="shared" si="7"/>
        <v>10344</v>
      </c>
      <c r="H18" s="23">
        <f t="shared" si="7"/>
        <v>12092</v>
      </c>
      <c r="I18" s="23">
        <f t="shared" si="7"/>
        <v>10481</v>
      </c>
      <c r="J18" s="23">
        <f t="shared" si="7"/>
        <v>2523</v>
      </c>
      <c r="K18" s="23">
        <f t="shared" si="7"/>
        <v>7954</v>
      </c>
      <c r="L18" s="23">
        <f t="shared" si="7"/>
        <v>11735</v>
      </c>
      <c r="M18" s="23">
        <f t="shared" si="7"/>
        <v>10535</v>
      </c>
      <c r="N18" s="23">
        <f t="shared" si="7"/>
        <v>6508</v>
      </c>
      <c r="O18" s="23">
        <f t="shared" si="7"/>
        <v>15059</v>
      </c>
      <c r="P18" s="23">
        <f t="shared" si="7"/>
        <v>18310</v>
      </c>
      <c r="Q18" s="23">
        <f t="shared" si="7"/>
        <v>15970</v>
      </c>
      <c r="R18" s="23">
        <f t="shared" si="7"/>
        <v>1370</v>
      </c>
      <c r="S18" s="23">
        <f t="shared" si="7"/>
        <v>-187</v>
      </c>
      <c r="T18" s="23">
        <f t="shared" si="7"/>
        <v>3532</v>
      </c>
      <c r="U18" s="23">
        <f t="shared" si="7"/>
        <v>-513</v>
      </c>
      <c r="V18" s="23">
        <f t="shared" si="7"/>
        <v>-2241</v>
      </c>
      <c r="W18" s="23">
        <f t="shared" si="7"/>
        <v>-2965</v>
      </c>
      <c r="X18" s="23">
        <f t="shared" si="7"/>
        <v>6117</v>
      </c>
      <c r="Y18" s="23">
        <f t="shared" si="7"/>
        <v>4713</v>
      </c>
      <c r="Z18" s="23">
        <f t="shared" si="7"/>
        <v>2992</v>
      </c>
      <c r="AA18" s="23">
        <f t="shared" si="7"/>
        <v>6886</v>
      </c>
      <c r="AB18" s="23">
        <f t="shared" si="7"/>
        <v>14262</v>
      </c>
      <c r="AC18" s="23">
        <f t="shared" si="7"/>
        <v>7821</v>
      </c>
      <c r="AD18" s="24"/>
    </row>
    <row r="19" spans="1:30" s="25" customFormat="1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4"/>
    </row>
    <row r="20" spans="1:30" x14ac:dyDescent="0.25">
      <c r="A20" s="8" t="s">
        <v>97</v>
      </c>
      <c r="B20" s="16">
        <v>117</v>
      </c>
      <c r="C20" s="16">
        <v>112</v>
      </c>
      <c r="D20" s="16">
        <v>117</v>
      </c>
      <c r="E20" s="16">
        <v>114</v>
      </c>
      <c r="F20" s="16">
        <v>93</v>
      </c>
      <c r="G20" s="16">
        <v>129</v>
      </c>
      <c r="H20" s="16">
        <v>180</v>
      </c>
      <c r="I20" s="16">
        <v>54</v>
      </c>
      <c r="J20" s="16">
        <v>136</v>
      </c>
      <c r="K20" s="16">
        <v>121</v>
      </c>
      <c r="L20" s="16">
        <v>197</v>
      </c>
      <c r="M20" s="16">
        <v>3643</v>
      </c>
      <c r="N20" s="16">
        <v>132</v>
      </c>
      <c r="O20" s="16">
        <v>136</v>
      </c>
      <c r="P20" s="16">
        <v>-1</v>
      </c>
      <c r="Q20" s="16">
        <v>137</v>
      </c>
      <c r="R20" s="16">
        <v>179</v>
      </c>
      <c r="S20" s="16">
        <v>94</v>
      </c>
      <c r="T20" s="16">
        <v>207</v>
      </c>
      <c r="U20" s="16">
        <v>171</v>
      </c>
      <c r="V20" s="16">
        <v>15</v>
      </c>
      <c r="W20" s="16">
        <v>140</v>
      </c>
      <c r="X20" s="16">
        <v>87</v>
      </c>
      <c r="Y20" s="16">
        <v>77</v>
      </c>
      <c r="Z20" s="16">
        <v>77</v>
      </c>
      <c r="AA20" s="16">
        <v>90</v>
      </c>
      <c r="AB20" s="16">
        <v>87</v>
      </c>
      <c r="AC20" s="16">
        <v>185</v>
      </c>
      <c r="AD20" s="13"/>
    </row>
    <row r="21" spans="1:30" x14ac:dyDescent="0.25">
      <c r="A21" s="6" t="s">
        <v>98</v>
      </c>
      <c r="B21" s="15">
        <v>-1902</v>
      </c>
      <c r="C21" s="15">
        <v>-1868</v>
      </c>
      <c r="D21" s="15">
        <v>-1906</v>
      </c>
      <c r="E21" s="15">
        <v>-1899</v>
      </c>
      <c r="F21" s="15">
        <v>-2154</v>
      </c>
      <c r="G21" s="15">
        <v>-2222</v>
      </c>
      <c r="H21" s="15">
        <v>-2107</v>
      </c>
      <c r="I21" s="15">
        <v>-4063</v>
      </c>
      <c r="J21" s="15">
        <v>-1954</v>
      </c>
      <c r="K21" s="15">
        <v>-2136</v>
      </c>
      <c r="L21" s="15">
        <v>-2484</v>
      </c>
      <c r="M21" s="15">
        <v>-2855</v>
      </c>
      <c r="N21" s="15">
        <v>-5442</v>
      </c>
      <c r="O21" s="15">
        <v>-5409</v>
      </c>
      <c r="P21" s="15">
        <v>-5457</v>
      </c>
      <c r="Q21" s="15">
        <v>-6734</v>
      </c>
      <c r="R21" s="15">
        <v>-6610</v>
      </c>
      <c r="S21" s="15">
        <v>-5837</v>
      </c>
      <c r="T21" s="15">
        <v>-5930</v>
      </c>
      <c r="U21" s="15">
        <v>-5662</v>
      </c>
      <c r="V21" s="15">
        <v>-6454</v>
      </c>
      <c r="W21" s="15">
        <v>-6587</v>
      </c>
      <c r="X21" s="15">
        <v>-5764</v>
      </c>
      <c r="Y21" s="15">
        <v>-6893</v>
      </c>
      <c r="Z21" s="15">
        <v>-6140</v>
      </c>
      <c r="AA21" s="15">
        <v>-6188</v>
      </c>
      <c r="AB21" s="15">
        <v>-6432</v>
      </c>
      <c r="AC21" s="15">
        <v>-6414</v>
      </c>
      <c r="AD21" s="13"/>
    </row>
    <row r="22" spans="1:30" x14ac:dyDescent="0.25">
      <c r="A22" s="8" t="s">
        <v>101</v>
      </c>
      <c r="B22" s="16">
        <v>1702</v>
      </c>
      <c r="C22" s="16">
        <v>987</v>
      </c>
      <c r="D22" s="16">
        <v>-2984</v>
      </c>
      <c r="E22" s="16">
        <v>741</v>
      </c>
      <c r="F22" s="16">
        <v>2583</v>
      </c>
      <c r="G22" s="16">
        <v>-466</v>
      </c>
      <c r="H22" s="16">
        <v>-650</v>
      </c>
      <c r="I22" s="16">
        <v>433</v>
      </c>
      <c r="J22" s="16">
        <v>268</v>
      </c>
      <c r="K22" s="16">
        <v>-1870</v>
      </c>
      <c r="L22" s="16">
        <v>-1363</v>
      </c>
      <c r="M22" s="16">
        <v>-3063</v>
      </c>
      <c r="N22" s="16">
        <v>5158</v>
      </c>
      <c r="O22" s="16">
        <v>2599</v>
      </c>
      <c r="P22" s="16">
        <v>-8905</v>
      </c>
      <c r="Q22" s="16">
        <v>3412</v>
      </c>
      <c r="R22" s="16">
        <v>-12989</v>
      </c>
      <c r="S22" s="16">
        <v>-10758</v>
      </c>
      <c r="T22" s="16">
        <v>-3585</v>
      </c>
      <c r="U22" s="16">
        <v>-1591</v>
      </c>
      <c r="V22" s="16">
        <v>-12278</v>
      </c>
      <c r="W22" s="16">
        <v>-10014</v>
      </c>
      <c r="X22" s="16">
        <v>-25761</v>
      </c>
      <c r="Y22" s="16">
        <v>13086</v>
      </c>
      <c r="Z22" s="16">
        <v>28341</v>
      </c>
      <c r="AA22" s="16">
        <v>-12208</v>
      </c>
      <c r="AB22" s="16">
        <v>-12913</v>
      </c>
      <c r="AC22" s="16">
        <v>13358</v>
      </c>
      <c r="AD22" s="13"/>
    </row>
    <row r="23" spans="1:30" x14ac:dyDescent="0.25">
      <c r="A23" s="6" t="s">
        <v>103</v>
      </c>
      <c r="B23" s="15">
        <v>0</v>
      </c>
      <c r="C23" s="15">
        <v>0</v>
      </c>
      <c r="D23" s="15">
        <v>0</v>
      </c>
      <c r="E23" s="15">
        <v>-233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-482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3"/>
    </row>
    <row r="24" spans="1:30" s="25" customFormat="1" x14ac:dyDescent="0.25">
      <c r="A24" s="22" t="s">
        <v>1731</v>
      </c>
      <c r="B24" s="23">
        <f t="shared" ref="B24:AC24" si="8">+SUM(B16,B20:B23)</f>
        <v>-774</v>
      </c>
      <c r="C24" s="23">
        <f t="shared" si="8"/>
        <v>2125</v>
      </c>
      <c r="D24" s="23">
        <f t="shared" si="8"/>
        <v>3412</v>
      </c>
      <c r="E24" s="23">
        <f t="shared" si="8"/>
        <v>4979</v>
      </c>
      <c r="F24" s="23">
        <f t="shared" si="8"/>
        <v>-1891</v>
      </c>
      <c r="G24" s="23">
        <f t="shared" si="8"/>
        <v>3432</v>
      </c>
      <c r="H24" s="23">
        <f t="shared" si="8"/>
        <v>4790</v>
      </c>
      <c r="I24" s="23">
        <f t="shared" si="8"/>
        <v>1491</v>
      </c>
      <c r="J24" s="23">
        <f t="shared" si="8"/>
        <v>-4475</v>
      </c>
      <c r="K24" s="23">
        <f t="shared" si="8"/>
        <v>-1433</v>
      </c>
      <c r="L24" s="23">
        <f t="shared" si="8"/>
        <v>2293</v>
      </c>
      <c r="M24" s="23">
        <f t="shared" si="8"/>
        <v>1086</v>
      </c>
      <c r="N24" s="23">
        <f t="shared" si="8"/>
        <v>-3914</v>
      </c>
      <c r="O24" s="23">
        <f t="shared" si="8"/>
        <v>1806</v>
      </c>
      <c r="P24" s="23">
        <f t="shared" si="8"/>
        <v>-7285</v>
      </c>
      <c r="Q24" s="23">
        <f t="shared" si="8"/>
        <v>-2410</v>
      </c>
      <c r="R24" s="23">
        <f t="shared" si="8"/>
        <v>-25421</v>
      </c>
      <c r="S24" s="23">
        <f t="shared" si="8"/>
        <v>-23898</v>
      </c>
      <c r="T24" s="23">
        <f t="shared" si="8"/>
        <v>-13015</v>
      </c>
      <c r="U24" s="23">
        <f t="shared" si="8"/>
        <v>-17441</v>
      </c>
      <c r="V24" s="23">
        <f t="shared" si="8"/>
        <v>-27068</v>
      </c>
      <c r="W24" s="23">
        <f t="shared" si="8"/>
        <v>-23438</v>
      </c>
      <c r="X24" s="23">
        <f t="shared" si="8"/>
        <v>-33781</v>
      </c>
      <c r="Y24" s="23">
        <f t="shared" si="8"/>
        <v>4309</v>
      </c>
      <c r="Z24" s="23">
        <f t="shared" si="8"/>
        <v>19923</v>
      </c>
      <c r="AA24" s="23">
        <f t="shared" si="8"/>
        <v>-16597</v>
      </c>
      <c r="AB24" s="23">
        <f t="shared" si="8"/>
        <v>-10111</v>
      </c>
      <c r="AC24" s="23">
        <f t="shared" si="8"/>
        <v>9871</v>
      </c>
      <c r="AD24" s="24"/>
    </row>
    <row r="25" spans="1:30" x14ac:dyDescent="0.25">
      <c r="A25" s="6" t="s">
        <v>1723</v>
      </c>
      <c r="B25" s="15">
        <v>0</v>
      </c>
      <c r="C25" s="15">
        <v>0</v>
      </c>
      <c r="D25" s="15">
        <v>-495</v>
      </c>
      <c r="E25" s="15">
        <v>-2205</v>
      </c>
      <c r="F25" s="15">
        <v>0</v>
      </c>
      <c r="G25" s="15">
        <v>-60</v>
      </c>
      <c r="H25" s="15">
        <v>50</v>
      </c>
      <c r="I25" s="15">
        <v>-43</v>
      </c>
      <c r="J25" s="15">
        <v>-120</v>
      </c>
      <c r="K25" s="15">
        <v>-180</v>
      </c>
      <c r="L25" s="15">
        <v>-180</v>
      </c>
      <c r="M25" s="15">
        <v>480</v>
      </c>
      <c r="N25" s="15">
        <v>40</v>
      </c>
      <c r="O25" s="15">
        <v>-122</v>
      </c>
      <c r="P25" s="15">
        <v>-468</v>
      </c>
      <c r="Q25" s="15">
        <v>590</v>
      </c>
      <c r="R25" s="15">
        <v>861</v>
      </c>
      <c r="S25" s="15">
        <v>4347</v>
      </c>
      <c r="T25" s="15">
        <v>0</v>
      </c>
      <c r="U25" s="15">
        <v>0</v>
      </c>
      <c r="V25" s="15">
        <v>7985</v>
      </c>
      <c r="W25" s="15">
        <v>6914</v>
      </c>
      <c r="X25" s="15">
        <v>9744</v>
      </c>
      <c r="Y25" s="15">
        <v>-951</v>
      </c>
      <c r="Z25" s="15">
        <v>0</v>
      </c>
      <c r="AA25" s="15">
        <v>0</v>
      </c>
      <c r="AB25" s="15">
        <v>13197</v>
      </c>
      <c r="AC25" s="15">
        <v>-17486</v>
      </c>
      <c r="AD25" s="13"/>
    </row>
    <row r="26" spans="1:30" s="25" customFormat="1" x14ac:dyDescent="0.25">
      <c r="A26" s="22" t="s">
        <v>114</v>
      </c>
      <c r="B26" s="23">
        <f>+SUM(B24:B25)</f>
        <v>-774</v>
      </c>
      <c r="C26" s="23">
        <f>+SUM(C24:C25)</f>
        <v>2125</v>
      </c>
      <c r="D26" s="23">
        <f>+SUM(D24:D25)</f>
        <v>2917</v>
      </c>
      <c r="E26" s="23">
        <f>+SUM(E24:E25)</f>
        <v>2774</v>
      </c>
      <c r="F26" s="23">
        <f t="shared" ref="F26:AC26" si="9">+SUM(F24:F25)</f>
        <v>-1891</v>
      </c>
      <c r="G26" s="23">
        <f t="shared" si="9"/>
        <v>3372</v>
      </c>
      <c r="H26" s="23">
        <f t="shared" si="9"/>
        <v>4840</v>
      </c>
      <c r="I26" s="23">
        <f t="shared" si="9"/>
        <v>1448</v>
      </c>
      <c r="J26" s="23">
        <f t="shared" si="9"/>
        <v>-4595</v>
      </c>
      <c r="K26" s="23">
        <f t="shared" si="9"/>
        <v>-1613</v>
      </c>
      <c r="L26" s="23">
        <f t="shared" si="9"/>
        <v>2113</v>
      </c>
      <c r="M26" s="23">
        <f t="shared" si="9"/>
        <v>1566</v>
      </c>
      <c r="N26" s="23">
        <f t="shared" si="9"/>
        <v>-3874</v>
      </c>
      <c r="O26" s="23">
        <f t="shared" si="9"/>
        <v>1684</v>
      </c>
      <c r="P26" s="23">
        <f t="shared" si="9"/>
        <v>-7753</v>
      </c>
      <c r="Q26" s="23">
        <f t="shared" si="9"/>
        <v>-1820</v>
      </c>
      <c r="R26" s="23">
        <f t="shared" si="9"/>
        <v>-24560</v>
      </c>
      <c r="S26" s="23">
        <f t="shared" si="9"/>
        <v>-19551</v>
      </c>
      <c r="T26" s="23">
        <f t="shared" si="9"/>
        <v>-13015</v>
      </c>
      <c r="U26" s="23">
        <f t="shared" si="9"/>
        <v>-17441</v>
      </c>
      <c r="V26" s="23">
        <f t="shared" si="9"/>
        <v>-19083</v>
      </c>
      <c r="W26" s="23">
        <f t="shared" si="9"/>
        <v>-16524</v>
      </c>
      <c r="X26" s="23">
        <f t="shared" si="9"/>
        <v>-24037</v>
      </c>
      <c r="Y26" s="23">
        <f t="shared" si="9"/>
        <v>3358</v>
      </c>
      <c r="Z26" s="23">
        <f t="shared" si="9"/>
        <v>19923</v>
      </c>
      <c r="AA26" s="23">
        <f t="shared" si="9"/>
        <v>-16597</v>
      </c>
      <c r="AB26" s="23">
        <f t="shared" si="9"/>
        <v>3086</v>
      </c>
      <c r="AC26" s="23">
        <f t="shared" si="9"/>
        <v>-7615</v>
      </c>
      <c r="AD26" s="24"/>
    </row>
    <row r="28" spans="1:30" ht="15.75" x14ac:dyDescent="0.25">
      <c r="A28" s="2" t="s">
        <v>6</v>
      </c>
    </row>
    <row r="29" spans="1:30" x14ac:dyDescent="0.25">
      <c r="A29" s="3" t="s">
        <v>7</v>
      </c>
    </row>
    <row r="30" spans="1:30" x14ac:dyDescent="0.25">
      <c r="A30" s="4" t="s">
        <v>11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30" x14ac:dyDescent="0.25">
      <c r="A31" s="4" t="s">
        <v>12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30" x14ac:dyDescent="0.25">
      <c r="A32" s="6" t="s">
        <v>13</v>
      </c>
      <c r="B32" s="15">
        <v>5267</v>
      </c>
      <c r="C32" s="15">
        <v>3253</v>
      </c>
      <c r="D32" s="15">
        <v>2052</v>
      </c>
      <c r="E32" s="15">
        <v>2392</v>
      </c>
      <c r="F32" s="15">
        <v>3751</v>
      </c>
      <c r="G32" s="15">
        <v>4938</v>
      </c>
      <c r="H32" s="15">
        <v>2130</v>
      </c>
      <c r="I32" s="15">
        <v>14577</v>
      </c>
      <c r="J32" s="15">
        <v>2462</v>
      </c>
      <c r="K32" s="15">
        <v>6432</v>
      </c>
      <c r="L32" s="15">
        <v>4147</v>
      </c>
      <c r="M32" s="15">
        <v>3308</v>
      </c>
      <c r="N32" s="15">
        <v>3992</v>
      </c>
      <c r="O32" s="15">
        <v>5244</v>
      </c>
      <c r="P32" s="15">
        <v>10518</v>
      </c>
      <c r="Q32" s="15">
        <v>53748</v>
      </c>
      <c r="R32" s="15">
        <v>26243</v>
      </c>
      <c r="S32" s="15">
        <v>19810</v>
      </c>
      <c r="T32" s="15">
        <v>15888</v>
      </c>
      <c r="U32" s="15">
        <v>18866</v>
      </c>
      <c r="V32" s="15">
        <v>13086</v>
      </c>
      <c r="W32" s="15">
        <v>10261</v>
      </c>
      <c r="X32" s="15">
        <v>12388</v>
      </c>
      <c r="Y32" s="15">
        <v>12860</v>
      </c>
      <c r="Z32" s="15">
        <v>8359</v>
      </c>
      <c r="AA32" s="15">
        <v>6477</v>
      </c>
      <c r="AB32" s="15">
        <v>10650</v>
      </c>
      <c r="AC32" s="15">
        <v>10785</v>
      </c>
    </row>
    <row r="33" spans="1:29" x14ac:dyDescent="0.25">
      <c r="A33" s="8" t="s">
        <v>14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204</v>
      </c>
      <c r="R33" s="16">
        <v>0</v>
      </c>
      <c r="S33" s="16">
        <v>0</v>
      </c>
      <c r="T33" s="16">
        <v>0</v>
      </c>
      <c r="U33" s="16">
        <v>0</v>
      </c>
      <c r="V33" s="15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</row>
    <row r="34" spans="1:29" x14ac:dyDescent="0.25">
      <c r="A34" s="6" t="s">
        <v>15</v>
      </c>
      <c r="B34" s="15">
        <v>12638</v>
      </c>
      <c r="C34" s="15">
        <v>16272</v>
      </c>
      <c r="D34" s="15">
        <v>19133</v>
      </c>
      <c r="E34" s="15">
        <v>20659</v>
      </c>
      <c r="F34" s="15">
        <v>17817</v>
      </c>
      <c r="G34" s="15">
        <v>21108</v>
      </c>
      <c r="H34" s="15">
        <v>21414</v>
      </c>
      <c r="I34" s="15">
        <v>22966</v>
      </c>
      <c r="J34" s="15">
        <v>18079</v>
      </c>
      <c r="K34" s="15">
        <v>20671</v>
      </c>
      <c r="L34" s="15">
        <v>23062</v>
      </c>
      <c r="M34" s="15">
        <v>30940</v>
      </c>
      <c r="N34" s="15">
        <v>20212</v>
      </c>
      <c r="O34" s="15">
        <v>22509</v>
      </c>
      <c r="P34" s="15">
        <v>22815</v>
      </c>
      <c r="Q34" s="15">
        <v>14939</v>
      </c>
      <c r="R34" s="15">
        <v>14645</v>
      </c>
      <c r="S34" s="15">
        <v>21746</v>
      </c>
      <c r="T34" s="15">
        <v>27823</v>
      </c>
      <c r="U34" s="15">
        <v>18907</v>
      </c>
      <c r="V34" s="15">
        <v>13823</v>
      </c>
      <c r="W34" s="15">
        <v>11753</v>
      </c>
      <c r="X34" s="15">
        <v>13910</v>
      </c>
      <c r="Y34" s="15">
        <v>12879</v>
      </c>
      <c r="Z34" s="15">
        <v>15776</v>
      </c>
      <c r="AA34" s="15">
        <v>24685</v>
      </c>
      <c r="AB34" s="15">
        <v>29278</v>
      </c>
      <c r="AC34" s="15">
        <v>12228</v>
      </c>
    </row>
    <row r="35" spans="1:29" x14ac:dyDescent="0.25">
      <c r="A35" s="8" t="s">
        <v>20</v>
      </c>
      <c r="B35" s="16">
        <v>1901</v>
      </c>
      <c r="C35" s="16">
        <v>1913</v>
      </c>
      <c r="D35" s="16">
        <v>1991</v>
      </c>
      <c r="E35" s="16">
        <v>1873</v>
      </c>
      <c r="F35" s="16">
        <v>1719</v>
      </c>
      <c r="G35" s="16">
        <v>1777</v>
      </c>
      <c r="H35" s="16">
        <v>2042</v>
      </c>
      <c r="I35" s="16">
        <v>1878</v>
      </c>
      <c r="J35" s="16">
        <v>1791</v>
      </c>
      <c r="K35" s="16">
        <v>2009</v>
      </c>
      <c r="L35" s="16">
        <v>2002</v>
      </c>
      <c r="M35" s="16">
        <v>2065</v>
      </c>
      <c r="N35" s="16">
        <v>2015</v>
      </c>
      <c r="O35" s="16">
        <v>2179</v>
      </c>
      <c r="P35" s="16">
        <v>2216</v>
      </c>
      <c r="Q35" s="16">
        <v>2222</v>
      </c>
      <c r="R35" s="16">
        <v>2426</v>
      </c>
      <c r="S35" s="16">
        <v>2375</v>
      </c>
      <c r="T35" s="16">
        <v>2342</v>
      </c>
      <c r="U35" s="16">
        <v>2226</v>
      </c>
      <c r="V35" s="15">
        <v>2118</v>
      </c>
      <c r="W35" s="16">
        <v>1989</v>
      </c>
      <c r="X35" s="16">
        <v>2336</v>
      </c>
      <c r="Y35" s="16">
        <v>2736</v>
      </c>
      <c r="Z35" s="16">
        <v>2868</v>
      </c>
      <c r="AA35" s="16">
        <v>2808</v>
      </c>
      <c r="AB35" s="16">
        <v>3586</v>
      </c>
      <c r="AC35" s="16">
        <v>3419</v>
      </c>
    </row>
    <row r="36" spans="1:29" x14ac:dyDescent="0.25">
      <c r="A36" s="6" t="s">
        <v>23</v>
      </c>
      <c r="B36" s="15">
        <v>9829</v>
      </c>
      <c r="C36" s="15">
        <v>8938</v>
      </c>
      <c r="D36" s="15">
        <v>8095</v>
      </c>
      <c r="E36" s="15">
        <v>793</v>
      </c>
      <c r="F36" s="15">
        <v>3466</v>
      </c>
      <c r="G36" s="15">
        <v>6356</v>
      </c>
      <c r="H36" s="15">
        <v>7502</v>
      </c>
      <c r="I36" s="15">
        <v>5818</v>
      </c>
      <c r="J36" s="15">
        <v>5034</v>
      </c>
      <c r="K36" s="15">
        <v>5118</v>
      </c>
      <c r="L36" s="15">
        <v>4694</v>
      </c>
      <c r="M36" s="15">
        <v>4220</v>
      </c>
      <c r="N36" s="15">
        <v>6207</v>
      </c>
      <c r="O36" s="15">
        <v>5808</v>
      </c>
      <c r="P36" s="15">
        <v>4933</v>
      </c>
      <c r="Q36" s="15">
        <v>3926</v>
      </c>
      <c r="R36" s="15">
        <v>2810</v>
      </c>
      <c r="S36" s="15">
        <v>3469</v>
      </c>
      <c r="T36" s="15">
        <v>3765</v>
      </c>
      <c r="U36" s="15">
        <v>3004</v>
      </c>
      <c r="V36" s="15">
        <v>5028</v>
      </c>
      <c r="W36" s="15">
        <v>5700</v>
      </c>
      <c r="X36" s="15">
        <v>6275</v>
      </c>
      <c r="Y36" s="15">
        <v>6387</v>
      </c>
      <c r="Z36" s="15">
        <v>6645</v>
      </c>
      <c r="AA36" s="15">
        <v>8215</v>
      </c>
      <c r="AB36" s="15">
        <v>7739</v>
      </c>
      <c r="AC36" s="15">
        <v>7931</v>
      </c>
    </row>
    <row r="37" spans="1:29" x14ac:dyDescent="0.25">
      <c r="A37" s="4" t="s">
        <v>28</v>
      </c>
      <c r="B37" s="14">
        <f>+SUM(B32:B36)</f>
        <v>29635</v>
      </c>
      <c r="C37" s="14">
        <f t="shared" ref="C37:AC37" si="10">+SUM(C32:C36)</f>
        <v>30376</v>
      </c>
      <c r="D37" s="14">
        <f t="shared" si="10"/>
        <v>31271</v>
      </c>
      <c r="E37" s="14">
        <f t="shared" si="10"/>
        <v>25717</v>
      </c>
      <c r="F37" s="14">
        <f t="shared" si="10"/>
        <v>26753</v>
      </c>
      <c r="G37" s="14">
        <f t="shared" si="10"/>
        <v>34179</v>
      </c>
      <c r="H37" s="14">
        <f t="shared" si="10"/>
        <v>33088</v>
      </c>
      <c r="I37" s="14">
        <f t="shared" si="10"/>
        <v>45239</v>
      </c>
      <c r="J37" s="14">
        <f t="shared" si="10"/>
        <v>27366</v>
      </c>
      <c r="K37" s="14">
        <f t="shared" si="10"/>
        <v>34230</v>
      </c>
      <c r="L37" s="14">
        <f t="shared" si="10"/>
        <v>33905</v>
      </c>
      <c r="M37" s="14">
        <f t="shared" si="10"/>
        <v>40533</v>
      </c>
      <c r="N37" s="14">
        <f t="shared" si="10"/>
        <v>32426</v>
      </c>
      <c r="O37" s="14">
        <f t="shared" si="10"/>
        <v>35740</v>
      </c>
      <c r="P37" s="14">
        <f t="shared" si="10"/>
        <v>40482</v>
      </c>
      <c r="Q37" s="14">
        <f t="shared" si="10"/>
        <v>75039</v>
      </c>
      <c r="R37" s="14">
        <f t="shared" si="10"/>
        <v>46124</v>
      </c>
      <c r="S37" s="14">
        <f t="shared" si="10"/>
        <v>47400</v>
      </c>
      <c r="T37" s="14">
        <f t="shared" si="10"/>
        <v>49818</v>
      </c>
      <c r="U37" s="14">
        <f t="shared" si="10"/>
        <v>43003</v>
      </c>
      <c r="V37" s="14">
        <f t="shared" si="10"/>
        <v>34055</v>
      </c>
      <c r="W37" s="14">
        <f t="shared" si="10"/>
        <v>29703</v>
      </c>
      <c r="X37" s="14">
        <f t="shared" si="10"/>
        <v>34909</v>
      </c>
      <c r="Y37" s="14">
        <f t="shared" si="10"/>
        <v>34862</v>
      </c>
      <c r="Z37" s="14">
        <f t="shared" si="10"/>
        <v>33648</v>
      </c>
      <c r="AA37" s="14">
        <f t="shared" si="10"/>
        <v>42185</v>
      </c>
      <c r="AB37" s="14">
        <f t="shared" si="10"/>
        <v>51253</v>
      </c>
      <c r="AC37" s="14">
        <f t="shared" si="10"/>
        <v>34363</v>
      </c>
    </row>
    <row r="38" spans="1:29" x14ac:dyDescent="0.25">
      <c r="A38" s="4" t="s">
        <v>29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x14ac:dyDescent="0.25">
      <c r="A39" s="6" t="s">
        <v>30</v>
      </c>
      <c r="B39" s="15">
        <v>12806</v>
      </c>
      <c r="C39" s="15">
        <v>12806</v>
      </c>
      <c r="D39" s="15">
        <v>12806</v>
      </c>
      <c r="E39" s="15">
        <v>12806</v>
      </c>
      <c r="F39" s="16">
        <v>12806</v>
      </c>
      <c r="G39" s="16">
        <v>12806</v>
      </c>
      <c r="H39" s="16">
        <v>12806</v>
      </c>
      <c r="I39" s="16">
        <v>12806</v>
      </c>
      <c r="J39" s="16">
        <v>12806</v>
      </c>
      <c r="K39" s="16">
        <v>12806</v>
      </c>
      <c r="L39" s="16">
        <v>12806</v>
      </c>
      <c r="M39" s="16">
        <v>12806</v>
      </c>
      <c r="N39" s="16">
        <v>12806</v>
      </c>
      <c r="O39" s="16">
        <v>12806</v>
      </c>
      <c r="P39" s="16">
        <v>12806</v>
      </c>
      <c r="Q39" s="16">
        <v>12806</v>
      </c>
      <c r="R39" s="16">
        <v>12806</v>
      </c>
      <c r="S39" s="16">
        <v>12806</v>
      </c>
      <c r="T39" s="16">
        <v>12806</v>
      </c>
      <c r="U39" s="16">
        <v>12806</v>
      </c>
      <c r="V39" s="15">
        <v>12806</v>
      </c>
      <c r="W39" s="16">
        <v>26443</v>
      </c>
      <c r="X39" s="16">
        <v>63149</v>
      </c>
      <c r="Y39" s="16">
        <v>63149</v>
      </c>
      <c r="Z39" s="16">
        <v>49275</v>
      </c>
      <c r="AA39" s="16">
        <v>49275</v>
      </c>
      <c r="AB39" s="16">
        <v>49275</v>
      </c>
      <c r="AC39" s="16">
        <v>41602</v>
      </c>
    </row>
    <row r="40" spans="1:29" x14ac:dyDescent="0.25">
      <c r="A40" s="8" t="s">
        <v>15</v>
      </c>
      <c r="B40" s="16">
        <v>5009</v>
      </c>
      <c r="C40" s="16">
        <v>3655</v>
      </c>
      <c r="D40" s="16">
        <v>3858</v>
      </c>
      <c r="E40" s="16">
        <v>3628</v>
      </c>
      <c r="F40" s="15">
        <v>7573</v>
      </c>
      <c r="G40" s="15">
        <v>8497</v>
      </c>
      <c r="H40" s="15">
        <v>8815</v>
      </c>
      <c r="I40" s="15">
        <v>8833</v>
      </c>
      <c r="J40" s="15">
        <v>10131</v>
      </c>
      <c r="K40" s="15">
        <v>11745</v>
      </c>
      <c r="L40" s="15">
        <v>11955</v>
      </c>
      <c r="M40" s="15">
        <v>6688</v>
      </c>
      <c r="N40" s="15">
        <v>6494</v>
      </c>
      <c r="O40" s="15">
        <v>6444</v>
      </c>
      <c r="P40" s="15">
        <v>6491</v>
      </c>
      <c r="Q40" s="15">
        <v>17089</v>
      </c>
      <c r="R40" s="15">
        <v>18982</v>
      </c>
      <c r="S40" s="15">
        <v>19352</v>
      </c>
      <c r="T40" s="15">
        <v>20450</v>
      </c>
      <c r="U40" s="15">
        <v>20144</v>
      </c>
      <c r="V40" s="15">
        <v>21124</v>
      </c>
      <c r="W40" s="15">
        <v>8393</v>
      </c>
      <c r="X40" s="15">
        <v>9055</v>
      </c>
      <c r="Y40" s="15">
        <v>9154</v>
      </c>
      <c r="Z40" s="15">
        <v>9022</v>
      </c>
      <c r="AA40" s="15">
        <v>9621</v>
      </c>
      <c r="AB40" s="15">
        <v>10164</v>
      </c>
      <c r="AC40" s="15">
        <v>10482</v>
      </c>
    </row>
    <row r="41" spans="1:29" x14ac:dyDescent="0.25">
      <c r="A41" s="6" t="s">
        <v>34</v>
      </c>
      <c r="B41" s="15">
        <v>163085</v>
      </c>
      <c r="C41" s="15">
        <v>167586</v>
      </c>
      <c r="D41" s="15">
        <v>172786</v>
      </c>
      <c r="E41" s="15">
        <v>178832</v>
      </c>
      <c r="F41" s="15">
        <v>182154</v>
      </c>
      <c r="G41" s="15">
        <v>183910</v>
      </c>
      <c r="H41" s="15">
        <v>187569</v>
      </c>
      <c r="I41" s="15">
        <v>194778</v>
      </c>
      <c r="J41" s="15">
        <v>200203</v>
      </c>
      <c r="K41" s="15">
        <v>206790</v>
      </c>
      <c r="L41" s="15">
        <v>209089</v>
      </c>
      <c r="M41" s="15">
        <v>207987</v>
      </c>
      <c r="N41" s="15">
        <v>382345</v>
      </c>
      <c r="O41" s="15">
        <v>376961</v>
      </c>
      <c r="P41" s="15">
        <v>372629</v>
      </c>
      <c r="Q41" s="15">
        <v>377119</v>
      </c>
      <c r="R41" s="15">
        <v>206742</v>
      </c>
      <c r="S41" s="15">
        <v>200641</v>
      </c>
      <c r="T41" s="15">
        <v>192076</v>
      </c>
      <c r="U41" s="15">
        <v>191827</v>
      </c>
      <c r="V41" s="15">
        <v>186036</v>
      </c>
      <c r="W41" s="15">
        <v>206503</v>
      </c>
      <c r="X41" s="15">
        <v>199660</v>
      </c>
      <c r="Y41" s="15">
        <v>201252</v>
      </c>
      <c r="Z41" s="15">
        <v>197379</v>
      </c>
      <c r="AA41" s="15">
        <v>191453</v>
      </c>
      <c r="AB41" s="15">
        <v>189013</v>
      </c>
      <c r="AC41" s="15">
        <v>179354</v>
      </c>
    </row>
    <row r="42" spans="1:29" x14ac:dyDescent="0.25">
      <c r="A42" s="8" t="s">
        <v>35</v>
      </c>
      <c r="B42" s="16">
        <v>2213</v>
      </c>
      <c r="C42" s="16">
        <v>8203</v>
      </c>
      <c r="D42" s="16">
        <v>7960</v>
      </c>
      <c r="E42" s="16">
        <v>8010</v>
      </c>
      <c r="F42" s="16">
        <v>7774</v>
      </c>
      <c r="G42" s="16">
        <v>7611</v>
      </c>
      <c r="H42" s="16">
        <v>7395</v>
      </c>
      <c r="I42" s="16">
        <v>10931</v>
      </c>
      <c r="J42" s="16">
        <v>15160</v>
      </c>
      <c r="K42" s="16">
        <v>14376</v>
      </c>
      <c r="L42" s="16">
        <v>13750</v>
      </c>
      <c r="M42" s="16">
        <v>13231</v>
      </c>
      <c r="N42" s="16">
        <v>13007</v>
      </c>
      <c r="O42" s="16">
        <v>12222</v>
      </c>
      <c r="P42" s="16">
        <v>12624</v>
      </c>
      <c r="Q42" s="16">
        <v>42490</v>
      </c>
      <c r="R42" s="16">
        <v>3045</v>
      </c>
      <c r="S42" s="16">
        <v>2937</v>
      </c>
      <c r="T42" s="16">
        <v>3090</v>
      </c>
      <c r="U42" s="16">
        <v>3044</v>
      </c>
      <c r="V42" s="15">
        <v>3212</v>
      </c>
      <c r="W42" s="16">
        <v>3057</v>
      </c>
      <c r="X42" s="16">
        <v>2742</v>
      </c>
      <c r="Y42" s="16">
        <v>2009</v>
      </c>
      <c r="Z42" s="16">
        <v>1766</v>
      </c>
      <c r="AA42" s="16">
        <v>8657</v>
      </c>
      <c r="AB42" s="16">
        <v>8226</v>
      </c>
      <c r="AC42" s="16">
        <v>8776</v>
      </c>
    </row>
    <row r="43" spans="1:29" x14ac:dyDescent="0.25">
      <c r="A43" s="6" t="s">
        <v>36</v>
      </c>
      <c r="B43" s="15">
        <v>0</v>
      </c>
      <c r="C43" s="15">
        <v>0</v>
      </c>
      <c r="D43" s="15">
        <v>0</v>
      </c>
      <c r="E43" s="15">
        <v>0</v>
      </c>
      <c r="F43" s="16">
        <v>0</v>
      </c>
      <c r="G43" s="16">
        <v>0</v>
      </c>
      <c r="H43" s="16">
        <v>0</v>
      </c>
      <c r="I43" s="16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11867</v>
      </c>
      <c r="W43" s="15">
        <v>11850</v>
      </c>
      <c r="X43" s="15">
        <v>10766</v>
      </c>
      <c r="Y43" s="15">
        <v>8147</v>
      </c>
      <c r="Z43" s="15">
        <v>30546</v>
      </c>
      <c r="AA43" s="15">
        <v>30546</v>
      </c>
      <c r="AB43" s="15">
        <v>34740</v>
      </c>
      <c r="AC43" s="15">
        <v>36856</v>
      </c>
    </row>
    <row r="44" spans="1:29" x14ac:dyDescent="0.25">
      <c r="A44" s="6" t="s">
        <v>23</v>
      </c>
      <c r="B44" s="15">
        <v>0</v>
      </c>
      <c r="C44" s="15">
        <v>0</v>
      </c>
      <c r="D44" s="15">
        <v>0</v>
      </c>
      <c r="E44" s="15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5">
        <v>0</v>
      </c>
      <c r="O44" s="15">
        <v>0</v>
      </c>
      <c r="P44" s="15">
        <v>0</v>
      </c>
      <c r="Q44" s="15">
        <v>0</v>
      </c>
      <c r="R44" s="16">
        <v>182767</v>
      </c>
      <c r="S44" s="16">
        <v>180317</v>
      </c>
      <c r="T44" s="16">
        <v>138803</v>
      </c>
      <c r="U44" s="16">
        <v>135988</v>
      </c>
      <c r="V44" s="15">
        <v>133172</v>
      </c>
      <c r="W44" s="16">
        <v>131295</v>
      </c>
      <c r="X44" s="16">
        <v>127542</v>
      </c>
      <c r="Y44" s="16">
        <v>124726</v>
      </c>
      <c r="Z44" s="16">
        <v>113168</v>
      </c>
      <c r="AA44" s="16">
        <v>110452</v>
      </c>
      <c r="AB44" s="16">
        <v>103839</v>
      </c>
      <c r="AC44" s="16">
        <v>101186</v>
      </c>
    </row>
    <row r="45" spans="1:29" x14ac:dyDescent="0.25">
      <c r="A45" s="4" t="s">
        <v>38</v>
      </c>
      <c r="B45" s="14">
        <f>+SUM(B39:B44)</f>
        <v>183113</v>
      </c>
      <c r="C45" s="14">
        <f t="shared" ref="C45:AC45" si="11">+SUM(C39:C44)</f>
        <v>192250</v>
      </c>
      <c r="D45" s="14">
        <f t="shared" si="11"/>
        <v>197410</v>
      </c>
      <c r="E45" s="14">
        <f t="shared" si="11"/>
        <v>203276</v>
      </c>
      <c r="F45" s="14">
        <f t="shared" si="11"/>
        <v>210307</v>
      </c>
      <c r="G45" s="14">
        <f t="shared" si="11"/>
        <v>212824</v>
      </c>
      <c r="H45" s="14">
        <f t="shared" si="11"/>
        <v>216585</v>
      </c>
      <c r="I45" s="14">
        <f t="shared" si="11"/>
        <v>227348</v>
      </c>
      <c r="J45" s="14">
        <f t="shared" si="11"/>
        <v>238300</v>
      </c>
      <c r="K45" s="14">
        <f t="shared" si="11"/>
        <v>245717</v>
      </c>
      <c r="L45" s="14">
        <f t="shared" si="11"/>
        <v>247600</v>
      </c>
      <c r="M45" s="14">
        <f t="shared" si="11"/>
        <v>240712</v>
      </c>
      <c r="N45" s="14">
        <f t="shared" si="11"/>
        <v>414652</v>
      </c>
      <c r="O45" s="14">
        <f t="shared" si="11"/>
        <v>408433</v>
      </c>
      <c r="P45" s="14">
        <f t="shared" si="11"/>
        <v>404550</v>
      </c>
      <c r="Q45" s="14">
        <f t="shared" si="11"/>
        <v>449504</v>
      </c>
      <c r="R45" s="14">
        <f t="shared" si="11"/>
        <v>424342</v>
      </c>
      <c r="S45" s="14">
        <f t="shared" si="11"/>
        <v>416053</v>
      </c>
      <c r="T45" s="14">
        <f t="shared" si="11"/>
        <v>367225</v>
      </c>
      <c r="U45" s="14">
        <f t="shared" si="11"/>
        <v>363809</v>
      </c>
      <c r="V45" s="14">
        <f t="shared" si="11"/>
        <v>368217</v>
      </c>
      <c r="W45" s="14">
        <f t="shared" si="11"/>
        <v>387541</v>
      </c>
      <c r="X45" s="14">
        <f t="shared" si="11"/>
        <v>412914</v>
      </c>
      <c r="Y45" s="14">
        <f t="shared" si="11"/>
        <v>408437</v>
      </c>
      <c r="Z45" s="14">
        <f t="shared" si="11"/>
        <v>401156</v>
      </c>
      <c r="AA45" s="14">
        <f t="shared" si="11"/>
        <v>400004</v>
      </c>
      <c r="AB45" s="14">
        <f t="shared" si="11"/>
        <v>395257</v>
      </c>
      <c r="AC45" s="14">
        <f t="shared" si="11"/>
        <v>378256</v>
      </c>
    </row>
    <row r="46" spans="1:29" x14ac:dyDescent="0.25">
      <c r="A46" s="4" t="s">
        <v>39</v>
      </c>
      <c r="B46" s="14">
        <f>+B37+B45</f>
        <v>212748</v>
      </c>
      <c r="C46" s="14">
        <f t="shared" ref="C46:AC46" si="12">+C37+C45</f>
        <v>222626</v>
      </c>
      <c r="D46" s="14">
        <f t="shared" si="12"/>
        <v>228681</v>
      </c>
      <c r="E46" s="14">
        <f t="shared" si="12"/>
        <v>228993</v>
      </c>
      <c r="F46" s="14">
        <f t="shared" si="12"/>
        <v>237060</v>
      </c>
      <c r="G46" s="14">
        <f t="shared" si="12"/>
        <v>247003</v>
      </c>
      <c r="H46" s="14">
        <f t="shared" si="12"/>
        <v>249673</v>
      </c>
      <c r="I46" s="14">
        <f t="shared" si="12"/>
        <v>272587</v>
      </c>
      <c r="J46" s="14">
        <f t="shared" si="12"/>
        <v>265666</v>
      </c>
      <c r="K46" s="14">
        <f t="shared" si="12"/>
        <v>279947</v>
      </c>
      <c r="L46" s="14">
        <f t="shared" si="12"/>
        <v>281505</v>
      </c>
      <c r="M46" s="14">
        <f t="shared" si="12"/>
        <v>281245</v>
      </c>
      <c r="N46" s="14">
        <f t="shared" si="12"/>
        <v>447078</v>
      </c>
      <c r="O46" s="14">
        <f t="shared" si="12"/>
        <v>444173</v>
      </c>
      <c r="P46" s="14">
        <f t="shared" si="12"/>
        <v>445032</v>
      </c>
      <c r="Q46" s="14">
        <f t="shared" si="12"/>
        <v>524543</v>
      </c>
      <c r="R46" s="14">
        <f t="shared" si="12"/>
        <v>470466</v>
      </c>
      <c r="S46" s="14">
        <f t="shared" si="12"/>
        <v>463453</v>
      </c>
      <c r="T46" s="14">
        <f t="shared" si="12"/>
        <v>417043</v>
      </c>
      <c r="U46" s="14">
        <f t="shared" si="12"/>
        <v>406812</v>
      </c>
      <c r="V46" s="14">
        <f t="shared" si="12"/>
        <v>402272</v>
      </c>
      <c r="W46" s="14">
        <f t="shared" si="12"/>
        <v>417244</v>
      </c>
      <c r="X46" s="14">
        <f t="shared" si="12"/>
        <v>447823</v>
      </c>
      <c r="Y46" s="14">
        <f t="shared" si="12"/>
        <v>443299</v>
      </c>
      <c r="Z46" s="14">
        <f t="shared" si="12"/>
        <v>434804</v>
      </c>
      <c r="AA46" s="14">
        <f t="shared" si="12"/>
        <v>442189</v>
      </c>
      <c r="AB46" s="14">
        <f t="shared" si="12"/>
        <v>446510</v>
      </c>
      <c r="AC46" s="14">
        <f t="shared" si="12"/>
        <v>412619</v>
      </c>
    </row>
    <row r="47" spans="1:29" x14ac:dyDescent="0.25">
      <c r="A47" s="4" t="s">
        <v>40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x14ac:dyDescent="0.25">
      <c r="A48" s="4" t="s">
        <v>41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x14ac:dyDescent="0.25">
      <c r="A49" s="8" t="s">
        <v>42</v>
      </c>
      <c r="B49" s="16">
        <v>6489</v>
      </c>
      <c r="C49" s="16">
        <v>6998</v>
      </c>
      <c r="D49" s="16">
        <v>11142</v>
      </c>
      <c r="E49" s="16">
        <v>15484</v>
      </c>
      <c r="F49" s="16">
        <v>8928</v>
      </c>
      <c r="G49" s="16">
        <v>14510</v>
      </c>
      <c r="H49" s="16">
        <v>13413</v>
      </c>
      <c r="I49" s="16">
        <v>17780</v>
      </c>
      <c r="J49" s="16">
        <v>16893</v>
      </c>
      <c r="K49" s="16">
        <v>14226</v>
      </c>
      <c r="L49" s="16">
        <v>15295</v>
      </c>
      <c r="M49" s="16">
        <v>19944</v>
      </c>
      <c r="N49" s="16">
        <v>140777</v>
      </c>
      <c r="O49" s="16">
        <v>139066</v>
      </c>
      <c r="P49" s="16">
        <v>45827</v>
      </c>
      <c r="Q49" s="16">
        <v>9916</v>
      </c>
      <c r="R49" s="16">
        <v>1166</v>
      </c>
      <c r="S49" s="16">
        <v>1412</v>
      </c>
      <c r="T49" s="16">
        <v>4325</v>
      </c>
      <c r="U49" s="16">
        <v>5755</v>
      </c>
      <c r="V49" s="15">
        <v>6114</v>
      </c>
      <c r="W49" s="16">
        <v>7775</v>
      </c>
      <c r="X49" s="16">
        <v>8327</v>
      </c>
      <c r="Y49" s="16">
        <v>4322</v>
      </c>
      <c r="Z49" s="16">
        <v>5011</v>
      </c>
      <c r="AA49" s="16">
        <v>5733</v>
      </c>
      <c r="AB49" s="16">
        <v>3143</v>
      </c>
      <c r="AC49" s="16">
        <v>3863</v>
      </c>
    </row>
    <row r="50" spans="1:29" x14ac:dyDescent="0.25">
      <c r="A50" s="6" t="s">
        <v>43</v>
      </c>
      <c r="B50" s="15">
        <v>24765</v>
      </c>
      <c r="C50" s="15">
        <v>30334</v>
      </c>
      <c r="D50" s="15">
        <v>29460</v>
      </c>
      <c r="E50" s="15">
        <v>25342</v>
      </c>
      <c r="F50" s="15">
        <v>23915</v>
      </c>
      <c r="G50" s="15">
        <v>26928</v>
      </c>
      <c r="H50" s="15">
        <v>28726</v>
      </c>
      <c r="I50" s="15">
        <v>27675</v>
      </c>
      <c r="J50" s="15">
        <v>37636</v>
      </c>
      <c r="K50" s="15">
        <v>38072</v>
      </c>
      <c r="L50" s="15">
        <v>39349</v>
      </c>
      <c r="M50" s="15">
        <v>41164</v>
      </c>
      <c r="N50" s="15">
        <v>35854</v>
      </c>
      <c r="O50" s="15">
        <v>36880</v>
      </c>
      <c r="P50" s="15">
        <v>36174</v>
      </c>
      <c r="Q50" s="15">
        <v>41825</v>
      </c>
      <c r="R50" s="15">
        <v>31826</v>
      </c>
      <c r="S50" s="15">
        <v>28058</v>
      </c>
      <c r="T50" s="15">
        <v>23889</v>
      </c>
      <c r="U50" s="15">
        <v>21541</v>
      </c>
      <c r="V50" s="15">
        <v>23121</v>
      </c>
      <c r="W50" s="15">
        <v>28082</v>
      </c>
      <c r="X50" s="15">
        <v>29511</v>
      </c>
      <c r="Y50" s="15">
        <v>28058</v>
      </c>
      <c r="Z50" s="15">
        <v>29426</v>
      </c>
      <c r="AA50" s="15">
        <v>44723</v>
      </c>
      <c r="AB50" s="15">
        <v>47871</v>
      </c>
      <c r="AC50" s="15">
        <v>34554</v>
      </c>
    </row>
    <row r="51" spans="1:29" x14ac:dyDescent="0.25">
      <c r="A51" s="6" t="s">
        <v>51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10543</v>
      </c>
      <c r="S51" s="15">
        <v>11541</v>
      </c>
      <c r="T51" s="15">
        <v>10490</v>
      </c>
      <c r="U51" s="15">
        <v>9644</v>
      </c>
      <c r="V51" s="15">
        <v>9229</v>
      </c>
      <c r="W51" s="15">
        <v>9631</v>
      </c>
      <c r="X51" s="15">
        <v>10400</v>
      </c>
      <c r="Y51" s="15">
        <v>10108</v>
      </c>
      <c r="Z51" s="15">
        <v>9458</v>
      </c>
      <c r="AA51" s="15">
        <v>9841</v>
      </c>
      <c r="AB51" s="15">
        <v>10482</v>
      </c>
      <c r="AC51" s="15">
        <v>10259</v>
      </c>
    </row>
    <row r="52" spans="1:29" x14ac:dyDescent="0.25">
      <c r="A52" s="4" t="s">
        <v>54</v>
      </c>
      <c r="B52" s="14">
        <f>+SUM(B49:B51)</f>
        <v>31254</v>
      </c>
      <c r="C52" s="14">
        <f t="shared" ref="C52:AC52" si="13">+SUM(C49:C51)</f>
        <v>37332</v>
      </c>
      <c r="D52" s="14">
        <f t="shared" si="13"/>
        <v>40602</v>
      </c>
      <c r="E52" s="14">
        <f t="shared" si="13"/>
        <v>40826</v>
      </c>
      <c r="F52" s="14">
        <f t="shared" si="13"/>
        <v>32843</v>
      </c>
      <c r="G52" s="14">
        <f t="shared" si="13"/>
        <v>41438</v>
      </c>
      <c r="H52" s="14">
        <f t="shared" si="13"/>
        <v>42139</v>
      </c>
      <c r="I52" s="14">
        <f t="shared" si="13"/>
        <v>45455</v>
      </c>
      <c r="J52" s="14">
        <f t="shared" si="13"/>
        <v>54529</v>
      </c>
      <c r="K52" s="14">
        <f t="shared" si="13"/>
        <v>52298</v>
      </c>
      <c r="L52" s="14">
        <f t="shared" si="13"/>
        <v>54644</v>
      </c>
      <c r="M52" s="14">
        <f t="shared" si="13"/>
        <v>61108</v>
      </c>
      <c r="N52" s="14">
        <f t="shared" si="13"/>
        <v>176631</v>
      </c>
      <c r="O52" s="14">
        <f t="shared" si="13"/>
        <v>175946</v>
      </c>
      <c r="P52" s="14">
        <f t="shared" si="13"/>
        <v>82001</v>
      </c>
      <c r="Q52" s="14">
        <f t="shared" si="13"/>
        <v>51741</v>
      </c>
      <c r="R52" s="14">
        <f t="shared" si="13"/>
        <v>43535</v>
      </c>
      <c r="S52" s="14">
        <f t="shared" si="13"/>
        <v>41011</v>
      </c>
      <c r="T52" s="14">
        <f t="shared" si="13"/>
        <v>38704</v>
      </c>
      <c r="U52" s="14">
        <f t="shared" si="13"/>
        <v>36940</v>
      </c>
      <c r="V52" s="14">
        <f t="shared" si="13"/>
        <v>38464</v>
      </c>
      <c r="W52" s="14">
        <f t="shared" si="13"/>
        <v>45488</v>
      </c>
      <c r="X52" s="14">
        <f t="shared" si="13"/>
        <v>48238</v>
      </c>
      <c r="Y52" s="14">
        <f t="shared" si="13"/>
        <v>42488</v>
      </c>
      <c r="Z52" s="14">
        <f t="shared" si="13"/>
        <v>43895</v>
      </c>
      <c r="AA52" s="14">
        <f t="shared" si="13"/>
        <v>60297</v>
      </c>
      <c r="AB52" s="14">
        <f t="shared" si="13"/>
        <v>61496</v>
      </c>
      <c r="AC52" s="14">
        <f t="shared" si="13"/>
        <v>48676</v>
      </c>
    </row>
    <row r="53" spans="1:29" x14ac:dyDescent="0.25">
      <c r="A53" s="4" t="s">
        <v>55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1:29" x14ac:dyDescent="0.25">
      <c r="A54" s="8" t="s">
        <v>42</v>
      </c>
      <c r="B54" s="16">
        <v>74904</v>
      </c>
      <c r="C54" s="16">
        <v>72345</v>
      </c>
      <c r="D54" s="16">
        <v>72618</v>
      </c>
      <c r="E54" s="16">
        <v>70801</v>
      </c>
      <c r="F54" s="16">
        <v>88823</v>
      </c>
      <c r="G54" s="16">
        <v>87132</v>
      </c>
      <c r="H54" s="16">
        <v>84790</v>
      </c>
      <c r="I54" s="16">
        <v>99417</v>
      </c>
      <c r="J54" s="16">
        <v>95839</v>
      </c>
      <c r="K54" s="16">
        <v>116901</v>
      </c>
      <c r="L54" s="16">
        <v>113815</v>
      </c>
      <c r="M54" s="16">
        <v>112158</v>
      </c>
      <c r="N54" s="16">
        <v>168831</v>
      </c>
      <c r="O54" s="16">
        <v>165429</v>
      </c>
      <c r="P54" s="16">
        <v>268363</v>
      </c>
      <c r="Q54" s="16">
        <v>350354</v>
      </c>
      <c r="R54" s="16">
        <v>185381</v>
      </c>
      <c r="S54" s="16">
        <v>200079</v>
      </c>
      <c r="T54" s="16">
        <v>200799</v>
      </c>
      <c r="U54" s="16">
        <v>201165</v>
      </c>
      <c r="V54" s="15">
        <v>207285</v>
      </c>
      <c r="W54" s="16">
        <v>211560</v>
      </c>
      <c r="X54" s="16">
        <v>228814</v>
      </c>
      <c r="Y54" s="16">
        <v>219709</v>
      </c>
      <c r="Z54" s="16">
        <v>202490</v>
      </c>
      <c r="AA54" s="16">
        <v>207880</v>
      </c>
      <c r="AB54" s="16">
        <v>218289</v>
      </c>
      <c r="AC54" s="16">
        <v>208153</v>
      </c>
    </row>
    <row r="55" spans="1:29" x14ac:dyDescent="0.25">
      <c r="A55" s="6" t="s">
        <v>43</v>
      </c>
      <c r="B55" s="15">
        <v>5094</v>
      </c>
      <c r="C55" s="15">
        <v>10251</v>
      </c>
      <c r="D55" s="15">
        <v>9835</v>
      </c>
      <c r="E55" s="15">
        <v>9046</v>
      </c>
      <c r="F55" s="15">
        <v>8329</v>
      </c>
      <c r="G55" s="15">
        <v>7792</v>
      </c>
      <c r="H55" s="15">
        <v>7182</v>
      </c>
      <c r="I55" s="15">
        <v>10510</v>
      </c>
      <c r="J55" s="15">
        <v>11657</v>
      </c>
      <c r="K55" s="15">
        <v>8594</v>
      </c>
      <c r="L55" s="15">
        <v>8619</v>
      </c>
      <c r="M55" s="15">
        <v>8975</v>
      </c>
      <c r="N55" s="15">
        <v>6956</v>
      </c>
      <c r="O55" s="15">
        <v>6197</v>
      </c>
      <c r="P55" s="15">
        <v>5659</v>
      </c>
      <c r="Q55" s="15">
        <v>34998</v>
      </c>
      <c r="R55" s="15">
        <v>1647</v>
      </c>
      <c r="S55" s="15">
        <v>2048</v>
      </c>
      <c r="T55" s="15">
        <v>1632</v>
      </c>
      <c r="U55" s="15">
        <v>2115</v>
      </c>
      <c r="V55" s="15">
        <v>2463</v>
      </c>
      <c r="W55" s="15">
        <v>2370</v>
      </c>
      <c r="X55" s="15">
        <v>2838</v>
      </c>
      <c r="Y55" s="15">
        <v>2997</v>
      </c>
      <c r="Z55" s="15">
        <v>2906</v>
      </c>
      <c r="AA55" s="15">
        <v>2814</v>
      </c>
      <c r="AB55" s="15">
        <v>2253</v>
      </c>
      <c r="AC55" s="15">
        <v>2253</v>
      </c>
    </row>
    <row r="56" spans="1:29" x14ac:dyDescent="0.25">
      <c r="A56" s="8" t="s">
        <v>57</v>
      </c>
      <c r="B56" s="16">
        <v>9606</v>
      </c>
      <c r="C56" s="16">
        <v>9800</v>
      </c>
      <c r="D56" s="16">
        <v>9803</v>
      </c>
      <c r="E56" s="16">
        <v>9210</v>
      </c>
      <c r="F56" s="16">
        <v>12771</v>
      </c>
      <c r="G56" s="16">
        <v>12766</v>
      </c>
      <c r="H56" s="16">
        <v>12593</v>
      </c>
      <c r="I56" s="16">
        <v>12520</v>
      </c>
      <c r="J56" s="16">
        <v>12359</v>
      </c>
      <c r="K56" s="16">
        <v>12396</v>
      </c>
      <c r="L56" s="16">
        <v>12444</v>
      </c>
      <c r="M56" s="16">
        <v>12486</v>
      </c>
      <c r="N56" s="16">
        <v>8274</v>
      </c>
      <c r="O56" s="16">
        <v>8350</v>
      </c>
      <c r="P56" s="16">
        <v>8397</v>
      </c>
      <c r="Q56" s="16">
        <v>8474</v>
      </c>
      <c r="R56" s="16">
        <v>4451</v>
      </c>
      <c r="S56" s="16">
        <v>830</v>
      </c>
      <c r="T56" s="16">
        <v>742</v>
      </c>
      <c r="U56" s="16">
        <v>2992</v>
      </c>
      <c r="V56" s="15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</row>
    <row r="57" spans="1:29" x14ac:dyDescent="0.25">
      <c r="A57" s="6" t="s">
        <v>58</v>
      </c>
      <c r="B57" s="15">
        <v>0</v>
      </c>
      <c r="C57" s="15">
        <v>0</v>
      </c>
      <c r="D57" s="15">
        <v>0</v>
      </c>
      <c r="E57" s="15">
        <v>0</v>
      </c>
      <c r="F57" s="16">
        <v>0</v>
      </c>
      <c r="G57" s="16">
        <v>0</v>
      </c>
      <c r="H57" s="16">
        <v>0</v>
      </c>
      <c r="I57" s="16">
        <v>0</v>
      </c>
      <c r="J57" s="15">
        <v>0</v>
      </c>
      <c r="K57" s="15">
        <v>0</v>
      </c>
      <c r="L57" s="15">
        <v>0</v>
      </c>
      <c r="M57" s="15">
        <v>0</v>
      </c>
      <c r="N57" s="16">
        <v>0</v>
      </c>
      <c r="O57" s="16">
        <v>0</v>
      </c>
      <c r="P57" s="16">
        <v>0</v>
      </c>
      <c r="Q57" s="16">
        <v>0</v>
      </c>
      <c r="R57" s="16">
        <v>182379</v>
      </c>
      <c r="S57" s="16">
        <v>185963</v>
      </c>
      <c r="T57" s="16">
        <v>145448</v>
      </c>
      <c r="U57" s="16">
        <v>145082</v>
      </c>
      <c r="V57" s="15">
        <v>149516</v>
      </c>
      <c r="W57" s="16">
        <v>151618</v>
      </c>
      <c r="X57" s="16">
        <v>160077</v>
      </c>
      <c r="Y57" s="16">
        <v>152618</v>
      </c>
      <c r="Z57" s="16">
        <v>129747</v>
      </c>
      <c r="AA57" s="16">
        <v>132029</v>
      </c>
      <c r="AB57" s="16">
        <v>131219</v>
      </c>
      <c r="AC57" s="16">
        <v>122186</v>
      </c>
    </row>
    <row r="58" spans="1:29" x14ac:dyDescent="0.25">
      <c r="A58" s="4" t="s">
        <v>59</v>
      </c>
      <c r="B58" s="14">
        <f t="shared" ref="B58:AC58" si="14">+SUM(B54:B57)</f>
        <v>89604</v>
      </c>
      <c r="C58" s="14">
        <f t="shared" si="14"/>
        <v>92396</v>
      </c>
      <c r="D58" s="14">
        <f t="shared" si="14"/>
        <v>92256</v>
      </c>
      <c r="E58" s="14">
        <f t="shared" si="14"/>
        <v>89057</v>
      </c>
      <c r="F58" s="14">
        <f t="shared" si="14"/>
        <v>109923</v>
      </c>
      <c r="G58" s="14">
        <f t="shared" si="14"/>
        <v>107690</v>
      </c>
      <c r="H58" s="14">
        <f t="shared" si="14"/>
        <v>104565</v>
      </c>
      <c r="I58" s="14">
        <f t="shared" si="14"/>
        <v>122447</v>
      </c>
      <c r="J58" s="14">
        <f t="shared" si="14"/>
        <v>119855</v>
      </c>
      <c r="K58" s="14">
        <f t="shared" si="14"/>
        <v>137891</v>
      </c>
      <c r="L58" s="14">
        <f t="shared" si="14"/>
        <v>134878</v>
      </c>
      <c r="M58" s="14">
        <f t="shared" si="14"/>
        <v>133619</v>
      </c>
      <c r="N58" s="14">
        <f t="shared" si="14"/>
        <v>184061</v>
      </c>
      <c r="O58" s="14">
        <f t="shared" si="14"/>
        <v>179976</v>
      </c>
      <c r="P58" s="14">
        <f t="shared" si="14"/>
        <v>282419</v>
      </c>
      <c r="Q58" s="14">
        <f t="shared" si="14"/>
        <v>393826</v>
      </c>
      <c r="R58" s="14">
        <f t="shared" si="14"/>
        <v>373858</v>
      </c>
      <c r="S58" s="14">
        <f t="shared" si="14"/>
        <v>388920</v>
      </c>
      <c r="T58" s="14">
        <f t="shared" si="14"/>
        <v>348621</v>
      </c>
      <c r="U58" s="14">
        <f t="shared" si="14"/>
        <v>351354</v>
      </c>
      <c r="V58" s="14">
        <f t="shared" si="14"/>
        <v>359264</v>
      </c>
      <c r="W58" s="14">
        <f t="shared" si="14"/>
        <v>365548</v>
      </c>
      <c r="X58" s="14">
        <f t="shared" si="14"/>
        <v>391729</v>
      </c>
      <c r="Y58" s="14">
        <f t="shared" si="14"/>
        <v>375324</v>
      </c>
      <c r="Z58" s="14">
        <f t="shared" si="14"/>
        <v>335143</v>
      </c>
      <c r="AA58" s="14">
        <f t="shared" si="14"/>
        <v>342723</v>
      </c>
      <c r="AB58" s="14">
        <f t="shared" si="14"/>
        <v>351761</v>
      </c>
      <c r="AC58" s="14">
        <f t="shared" si="14"/>
        <v>332592</v>
      </c>
    </row>
    <row r="59" spans="1:29" x14ac:dyDescent="0.25">
      <c r="A59" s="4" t="s">
        <v>60</v>
      </c>
      <c r="B59" s="14">
        <f t="shared" ref="B59:AC59" si="15">+B58+B52</f>
        <v>120858</v>
      </c>
      <c r="C59" s="14">
        <f t="shared" si="15"/>
        <v>129728</v>
      </c>
      <c r="D59" s="14">
        <f t="shared" si="15"/>
        <v>132858</v>
      </c>
      <c r="E59" s="14">
        <f t="shared" si="15"/>
        <v>129883</v>
      </c>
      <c r="F59" s="14">
        <f t="shared" si="15"/>
        <v>142766</v>
      </c>
      <c r="G59" s="14">
        <f t="shared" si="15"/>
        <v>149128</v>
      </c>
      <c r="H59" s="14">
        <f t="shared" si="15"/>
        <v>146704</v>
      </c>
      <c r="I59" s="14">
        <f t="shared" si="15"/>
        <v>167902</v>
      </c>
      <c r="J59" s="14">
        <f t="shared" si="15"/>
        <v>174384</v>
      </c>
      <c r="K59" s="14">
        <f t="shared" si="15"/>
        <v>190189</v>
      </c>
      <c r="L59" s="14">
        <f t="shared" si="15"/>
        <v>189522</v>
      </c>
      <c r="M59" s="14">
        <f t="shared" si="15"/>
        <v>194727</v>
      </c>
      <c r="N59" s="14">
        <f t="shared" si="15"/>
        <v>360692</v>
      </c>
      <c r="O59" s="14">
        <f t="shared" si="15"/>
        <v>355922</v>
      </c>
      <c r="P59" s="14">
        <f t="shared" si="15"/>
        <v>364420</v>
      </c>
      <c r="Q59" s="14">
        <f t="shared" si="15"/>
        <v>445567</v>
      </c>
      <c r="R59" s="14">
        <f t="shared" si="15"/>
        <v>417393</v>
      </c>
      <c r="S59" s="14">
        <f t="shared" si="15"/>
        <v>429931</v>
      </c>
      <c r="T59" s="14">
        <f t="shared" si="15"/>
        <v>387325</v>
      </c>
      <c r="U59" s="14">
        <f t="shared" si="15"/>
        <v>388294</v>
      </c>
      <c r="V59" s="14">
        <f t="shared" si="15"/>
        <v>397728</v>
      </c>
      <c r="W59" s="14">
        <f t="shared" si="15"/>
        <v>411036</v>
      </c>
      <c r="X59" s="14">
        <f t="shared" si="15"/>
        <v>439967</v>
      </c>
      <c r="Y59" s="14">
        <f t="shared" si="15"/>
        <v>417812</v>
      </c>
      <c r="Z59" s="14">
        <f t="shared" si="15"/>
        <v>379038</v>
      </c>
      <c r="AA59" s="14">
        <f t="shared" si="15"/>
        <v>403020</v>
      </c>
      <c r="AB59" s="14">
        <f t="shared" si="15"/>
        <v>413257</v>
      </c>
      <c r="AC59" s="14">
        <f t="shared" si="15"/>
        <v>381268</v>
      </c>
    </row>
    <row r="60" spans="1:29" x14ac:dyDescent="0.25">
      <c r="A60" s="4" t="s">
        <v>61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</row>
    <row r="61" spans="1:29" x14ac:dyDescent="0.25">
      <c r="A61" s="6" t="s">
        <v>62</v>
      </c>
      <c r="B61" s="15">
        <v>61450</v>
      </c>
      <c r="C61" s="15">
        <v>61450</v>
      </c>
      <c r="D61" s="15">
        <v>61450</v>
      </c>
      <c r="E61" s="15">
        <v>61450</v>
      </c>
      <c r="F61" s="16">
        <v>61450</v>
      </c>
      <c r="G61" s="16">
        <v>61450</v>
      </c>
      <c r="H61" s="16">
        <v>61450</v>
      </c>
      <c r="I61" s="16">
        <v>61450</v>
      </c>
      <c r="J61" s="16">
        <v>61450</v>
      </c>
      <c r="K61" s="16">
        <v>61450</v>
      </c>
      <c r="L61" s="16">
        <v>61450</v>
      </c>
      <c r="M61" s="16">
        <v>61450</v>
      </c>
      <c r="N61" s="16">
        <v>61450</v>
      </c>
      <c r="O61" s="16">
        <v>61450</v>
      </c>
      <c r="P61" s="16">
        <v>61450</v>
      </c>
      <c r="Q61" s="16">
        <v>61450</v>
      </c>
      <c r="R61" s="16">
        <v>61450</v>
      </c>
      <c r="S61" s="16">
        <v>61450</v>
      </c>
      <c r="T61" s="16">
        <v>70661</v>
      </c>
      <c r="U61" s="16">
        <v>70661</v>
      </c>
      <c r="V61" s="15">
        <v>70662</v>
      </c>
      <c r="W61" s="16">
        <v>70662</v>
      </c>
      <c r="X61" s="16">
        <v>70662</v>
      </c>
      <c r="Y61" s="16">
        <v>80534</v>
      </c>
      <c r="Z61" s="16">
        <v>80534</v>
      </c>
      <c r="AA61" s="16">
        <v>80534</v>
      </c>
      <c r="AB61" s="16">
        <v>80534</v>
      </c>
      <c r="AC61" s="16">
        <v>80534</v>
      </c>
    </row>
    <row r="62" spans="1:29" x14ac:dyDescent="0.25">
      <c r="A62" s="6" t="s">
        <v>66</v>
      </c>
      <c r="B62" s="15">
        <v>1665</v>
      </c>
      <c r="C62" s="15">
        <v>1737</v>
      </c>
      <c r="D62" s="15">
        <v>1737</v>
      </c>
      <c r="E62" s="15">
        <v>1737</v>
      </c>
      <c r="F62" s="16">
        <v>1737</v>
      </c>
      <c r="G62" s="16">
        <v>1737</v>
      </c>
      <c r="H62" s="16">
        <v>2414</v>
      </c>
      <c r="I62" s="16">
        <v>2414</v>
      </c>
      <c r="J62" s="16">
        <v>2955</v>
      </c>
      <c r="K62" s="16">
        <v>2955</v>
      </c>
      <c r="L62" s="16">
        <v>2955</v>
      </c>
      <c r="M62" s="16">
        <v>2955</v>
      </c>
      <c r="N62" s="16">
        <v>3035</v>
      </c>
      <c r="O62" s="16">
        <v>3035</v>
      </c>
      <c r="P62" s="16">
        <v>3035</v>
      </c>
      <c r="Q62" s="16">
        <v>3035</v>
      </c>
      <c r="R62" s="16">
        <v>3036</v>
      </c>
      <c r="S62" s="16">
        <v>3036</v>
      </c>
      <c r="T62" s="16">
        <v>3036</v>
      </c>
      <c r="U62" s="16">
        <v>3036</v>
      </c>
      <c r="V62" s="15">
        <v>3036</v>
      </c>
      <c r="W62" s="16">
        <v>3036</v>
      </c>
      <c r="X62" s="16">
        <v>3036</v>
      </c>
      <c r="Y62" s="16">
        <v>3036</v>
      </c>
      <c r="Z62" s="16">
        <v>3036</v>
      </c>
      <c r="AA62" s="16">
        <v>3036</v>
      </c>
      <c r="AB62" s="16">
        <v>3036</v>
      </c>
      <c r="AC62" s="16">
        <v>3036</v>
      </c>
    </row>
    <row r="63" spans="1:29" x14ac:dyDescent="0.25">
      <c r="A63" s="8" t="s">
        <v>67</v>
      </c>
      <c r="B63" s="16">
        <v>32545</v>
      </c>
      <c r="C63" s="16">
        <v>32928</v>
      </c>
      <c r="D63" s="16">
        <v>35847</v>
      </c>
      <c r="E63" s="16">
        <v>38621</v>
      </c>
      <c r="F63" s="15">
        <v>33212</v>
      </c>
      <c r="G63" s="15">
        <v>36585</v>
      </c>
      <c r="H63" s="15">
        <v>40748</v>
      </c>
      <c r="I63" s="15">
        <v>42196</v>
      </c>
      <c r="J63" s="15">
        <v>28032</v>
      </c>
      <c r="K63" s="15">
        <v>26419</v>
      </c>
      <c r="L63" s="15">
        <v>28531</v>
      </c>
      <c r="M63" s="15">
        <v>22965</v>
      </c>
      <c r="N63" s="15">
        <v>22531</v>
      </c>
      <c r="O63" s="15">
        <v>24214</v>
      </c>
      <c r="P63" s="15">
        <v>16461</v>
      </c>
      <c r="Q63" s="15">
        <v>14641</v>
      </c>
      <c r="R63" s="15">
        <v>-11413</v>
      </c>
      <c r="S63" s="15">
        <v>-30964</v>
      </c>
      <c r="T63" s="15">
        <v>-43979</v>
      </c>
      <c r="U63" s="15">
        <v>-61420</v>
      </c>
      <c r="V63" s="15">
        <v>-75202</v>
      </c>
      <c r="W63" s="15">
        <v>-91726</v>
      </c>
      <c r="X63" s="15">
        <v>-115761</v>
      </c>
      <c r="Y63" s="15">
        <v>-112403</v>
      </c>
      <c r="Z63" s="15">
        <v>-71768</v>
      </c>
      <c r="AA63" s="15">
        <v>-88365</v>
      </c>
      <c r="AB63" s="15">
        <v>-94281</v>
      </c>
      <c r="AC63" s="15">
        <v>-89419</v>
      </c>
    </row>
    <row r="64" spans="1:29" x14ac:dyDescent="0.25">
      <c r="A64" s="6" t="s">
        <v>68</v>
      </c>
      <c r="B64" s="15">
        <v>-3770</v>
      </c>
      <c r="C64" s="15">
        <v>-3217</v>
      </c>
      <c r="D64" s="15">
        <v>-3211</v>
      </c>
      <c r="E64" s="15">
        <v>-2698</v>
      </c>
      <c r="F64" s="16">
        <v>-2105</v>
      </c>
      <c r="G64" s="16">
        <v>-1897</v>
      </c>
      <c r="H64" s="16">
        <v>-1643</v>
      </c>
      <c r="I64" s="16">
        <v>-1375</v>
      </c>
      <c r="J64" s="16">
        <v>-1155</v>
      </c>
      <c r="K64" s="16">
        <v>-1066</v>
      </c>
      <c r="L64" s="16">
        <v>-953</v>
      </c>
      <c r="M64" s="16">
        <v>-852</v>
      </c>
      <c r="N64" s="16">
        <v>-630</v>
      </c>
      <c r="O64" s="16">
        <v>-448</v>
      </c>
      <c r="P64" s="16">
        <v>-334</v>
      </c>
      <c r="Q64" s="16">
        <v>-150</v>
      </c>
      <c r="R64" s="16">
        <v>0</v>
      </c>
      <c r="S64" s="16">
        <v>0</v>
      </c>
      <c r="T64" s="16">
        <v>0</v>
      </c>
      <c r="U64" s="16">
        <v>6241</v>
      </c>
      <c r="V64" s="15">
        <v>6048</v>
      </c>
      <c r="W64" s="16">
        <v>24236</v>
      </c>
      <c r="X64" s="16">
        <v>49919</v>
      </c>
      <c r="Y64" s="16">
        <v>54320</v>
      </c>
      <c r="Z64" s="16">
        <v>43964</v>
      </c>
      <c r="AA64" s="16">
        <v>43964</v>
      </c>
      <c r="AB64" s="16">
        <v>43964</v>
      </c>
      <c r="AC64" s="16">
        <v>37200</v>
      </c>
    </row>
    <row r="65" spans="1:29" x14ac:dyDescent="0.25">
      <c r="A65" s="4" t="s">
        <v>71</v>
      </c>
      <c r="B65" s="14">
        <f>+SUM(B61:B64)</f>
        <v>91890</v>
      </c>
      <c r="C65" s="14">
        <f t="shared" ref="C65:AC65" si="16">+SUM(C61:C64)</f>
        <v>92898</v>
      </c>
      <c r="D65" s="14">
        <f t="shared" si="16"/>
        <v>95823</v>
      </c>
      <c r="E65" s="14">
        <f t="shared" si="16"/>
        <v>99110</v>
      </c>
      <c r="F65" s="14">
        <f t="shared" si="16"/>
        <v>94294</v>
      </c>
      <c r="G65" s="14">
        <f t="shared" si="16"/>
        <v>97875</v>
      </c>
      <c r="H65" s="14">
        <f t="shared" si="16"/>
        <v>102969</v>
      </c>
      <c r="I65" s="14">
        <f t="shared" si="16"/>
        <v>104685</v>
      </c>
      <c r="J65" s="14">
        <f t="shared" si="16"/>
        <v>91282</v>
      </c>
      <c r="K65" s="14">
        <f t="shared" si="16"/>
        <v>89758</v>
      </c>
      <c r="L65" s="14">
        <f t="shared" si="16"/>
        <v>91983</v>
      </c>
      <c r="M65" s="14">
        <f t="shared" si="16"/>
        <v>86518</v>
      </c>
      <c r="N65" s="14">
        <f t="shared" si="16"/>
        <v>86386</v>
      </c>
      <c r="O65" s="14">
        <f t="shared" si="16"/>
        <v>88251</v>
      </c>
      <c r="P65" s="14">
        <f t="shared" si="16"/>
        <v>80612</v>
      </c>
      <c r="Q65" s="14">
        <f t="shared" si="16"/>
        <v>78976</v>
      </c>
      <c r="R65" s="14">
        <f>+SUM(R61:R64)</f>
        <v>53073</v>
      </c>
      <c r="S65" s="14">
        <f t="shared" si="16"/>
        <v>33522</v>
      </c>
      <c r="T65" s="14">
        <f t="shared" si="16"/>
        <v>29718</v>
      </c>
      <c r="U65" s="14">
        <f t="shared" si="16"/>
        <v>18518</v>
      </c>
      <c r="V65" s="14">
        <f t="shared" si="16"/>
        <v>4544</v>
      </c>
      <c r="W65" s="14">
        <f t="shared" si="16"/>
        <v>6208</v>
      </c>
      <c r="X65" s="14">
        <f t="shared" si="16"/>
        <v>7856</v>
      </c>
      <c r="Y65" s="14">
        <f t="shared" si="16"/>
        <v>25487</v>
      </c>
      <c r="Z65" s="14">
        <f t="shared" si="16"/>
        <v>55766</v>
      </c>
      <c r="AA65" s="14">
        <f t="shared" si="16"/>
        <v>39169</v>
      </c>
      <c r="AB65" s="14">
        <f t="shared" si="16"/>
        <v>33253</v>
      </c>
      <c r="AC65" s="14">
        <f t="shared" si="16"/>
        <v>31351</v>
      </c>
    </row>
    <row r="66" spans="1:29" x14ac:dyDescent="0.25">
      <c r="A66" s="4" t="s">
        <v>72</v>
      </c>
      <c r="B66" s="14">
        <f>+B65+B59</f>
        <v>212748</v>
      </c>
      <c r="C66" s="14">
        <f t="shared" ref="C66:AC66" si="17">+C65+C59</f>
        <v>222626</v>
      </c>
      <c r="D66" s="14">
        <f t="shared" si="17"/>
        <v>228681</v>
      </c>
      <c r="E66" s="14">
        <f t="shared" si="17"/>
        <v>228993</v>
      </c>
      <c r="F66" s="14">
        <f t="shared" si="17"/>
        <v>237060</v>
      </c>
      <c r="G66" s="14">
        <f t="shared" si="17"/>
        <v>247003</v>
      </c>
      <c r="H66" s="14">
        <f t="shared" si="17"/>
        <v>249673</v>
      </c>
      <c r="I66" s="14">
        <f t="shared" si="17"/>
        <v>272587</v>
      </c>
      <c r="J66" s="14">
        <f t="shared" si="17"/>
        <v>265666</v>
      </c>
      <c r="K66" s="14">
        <f t="shared" si="17"/>
        <v>279947</v>
      </c>
      <c r="L66" s="14">
        <f t="shared" si="17"/>
        <v>281505</v>
      </c>
      <c r="M66" s="14">
        <f t="shared" si="17"/>
        <v>281245</v>
      </c>
      <c r="N66" s="14">
        <f t="shared" si="17"/>
        <v>447078</v>
      </c>
      <c r="O66" s="14">
        <f t="shared" si="17"/>
        <v>444173</v>
      </c>
      <c r="P66" s="14">
        <f t="shared" si="17"/>
        <v>445032</v>
      </c>
      <c r="Q66" s="14">
        <f t="shared" si="17"/>
        <v>524543</v>
      </c>
      <c r="R66" s="14">
        <f t="shared" si="17"/>
        <v>470466</v>
      </c>
      <c r="S66" s="14">
        <f t="shared" si="17"/>
        <v>463453</v>
      </c>
      <c r="T66" s="14">
        <f t="shared" si="17"/>
        <v>417043</v>
      </c>
      <c r="U66" s="14">
        <f t="shared" si="17"/>
        <v>406812</v>
      </c>
      <c r="V66" s="14">
        <f t="shared" si="17"/>
        <v>402272</v>
      </c>
      <c r="W66" s="14">
        <f t="shared" si="17"/>
        <v>417244</v>
      </c>
      <c r="X66" s="14">
        <f t="shared" si="17"/>
        <v>447823</v>
      </c>
      <c r="Y66" s="14">
        <f t="shared" si="17"/>
        <v>443299</v>
      </c>
      <c r="Z66" s="14">
        <f t="shared" si="17"/>
        <v>434804</v>
      </c>
      <c r="AA66" s="14">
        <f t="shared" si="17"/>
        <v>442189</v>
      </c>
      <c r="AB66" s="14">
        <f t="shared" si="17"/>
        <v>446510</v>
      </c>
      <c r="AC66" s="14">
        <f t="shared" si="17"/>
        <v>412619</v>
      </c>
    </row>
    <row r="68" spans="1:29" ht="15.75" x14ac:dyDescent="0.25">
      <c r="A68" s="2" t="s">
        <v>167</v>
      </c>
    </row>
    <row r="69" spans="1:29" x14ac:dyDescent="0.25">
      <c r="A69" s="3" t="s">
        <v>7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spans="1:29" s="31" customFormat="1" x14ac:dyDescent="0.25">
      <c r="A70" s="34" t="s">
        <v>170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 spans="1:29" s="31" customFormat="1" x14ac:dyDescent="0.25">
      <c r="A71" s="33" t="s">
        <v>171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 spans="1:29" s="31" customFormat="1" x14ac:dyDescent="0.25">
      <c r="A72" s="37" t="s">
        <v>172</v>
      </c>
      <c r="B72" s="39">
        <v>26459</v>
      </c>
      <c r="C72" s="39">
        <f>63145</f>
        <v>63145</v>
      </c>
      <c r="D72" s="39">
        <f>102724</f>
        <v>102724</v>
      </c>
      <c r="E72" s="39">
        <f>147840</f>
        <v>147840</v>
      </c>
      <c r="F72" s="39">
        <v>31086</v>
      </c>
      <c r="G72" s="39">
        <v>67184</v>
      </c>
      <c r="H72" s="39">
        <v>110392</v>
      </c>
      <c r="I72" s="39">
        <v>157333</v>
      </c>
      <c r="J72" s="39">
        <v>40738</v>
      </c>
      <c r="K72" s="39">
        <v>71153</v>
      </c>
      <c r="L72" s="39">
        <v>122392</v>
      </c>
      <c r="M72" s="39">
        <v>170865</v>
      </c>
      <c r="N72" s="39">
        <v>41717</v>
      </c>
      <c r="O72" s="39">
        <v>78741</v>
      </c>
      <c r="P72" s="39">
        <v>132456</v>
      </c>
      <c r="Q72" s="39">
        <v>184474</v>
      </c>
      <c r="R72" s="39">
        <v>39101</v>
      </c>
      <c r="S72" s="39">
        <v>44962</v>
      </c>
      <c r="T72" s="39">
        <v>64696</v>
      </c>
      <c r="U72" s="39">
        <v>90665</v>
      </c>
      <c r="V72" s="39">
        <v>19774</v>
      </c>
      <c r="W72" s="39">
        <v>38526</v>
      </c>
      <c r="X72" s="39">
        <v>62232</v>
      </c>
      <c r="Y72" s="39">
        <v>91909</v>
      </c>
      <c r="Z72" s="39">
        <v>24797</v>
      </c>
      <c r="AA72" s="39">
        <v>53496</v>
      </c>
      <c r="AB72" s="39">
        <v>98948</v>
      </c>
      <c r="AC72" s="39">
        <v>153453</v>
      </c>
    </row>
    <row r="73" spans="1:29" s="31" customFormat="1" x14ac:dyDescent="0.25">
      <c r="A73" s="37" t="s">
        <v>176</v>
      </c>
      <c r="B73" s="39">
        <v>0</v>
      </c>
      <c r="C73" s="39">
        <v>243</v>
      </c>
      <c r="D73" s="39">
        <f>1501</f>
        <v>1501</v>
      </c>
      <c r="E73" s="39">
        <f>992</f>
        <v>992</v>
      </c>
      <c r="F73" s="39">
        <v>0</v>
      </c>
      <c r="G73" s="39">
        <v>0</v>
      </c>
      <c r="H73" s="39">
        <v>792</v>
      </c>
      <c r="I73" s="39">
        <v>0</v>
      </c>
      <c r="J73" s="39">
        <v>0</v>
      </c>
      <c r="K73" s="39">
        <v>0</v>
      </c>
      <c r="L73" s="39">
        <v>614</v>
      </c>
      <c r="M73" s="39">
        <v>1691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</row>
    <row r="74" spans="1:29" s="31" customFormat="1" x14ac:dyDescent="0.25">
      <c r="A74" s="33" t="s">
        <v>177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 spans="1:29" s="31" customFormat="1" x14ac:dyDescent="0.25">
      <c r="A75" s="37" t="s">
        <v>178</v>
      </c>
      <c r="B75" s="39">
        <v>-16197</v>
      </c>
      <c r="C75" s="39">
        <f>-25332</f>
        <v>-25332</v>
      </c>
      <c r="D75" s="39">
        <f>-41949</f>
        <v>-41949</v>
      </c>
      <c r="E75" s="39">
        <f>-58776</f>
        <v>-58776</v>
      </c>
      <c r="F75" s="39">
        <v>-19761</v>
      </c>
      <c r="G75" s="39">
        <v>-34774</v>
      </c>
      <c r="H75" s="39">
        <v>-51000</v>
      </c>
      <c r="I75" s="39">
        <v>-68865</v>
      </c>
      <c r="J75" s="39">
        <v>-21031</v>
      </c>
      <c r="K75" s="39">
        <v>-35349</v>
      </c>
      <c r="L75" s="39">
        <v>-58597</v>
      </c>
      <c r="M75" s="39">
        <v>-82890</v>
      </c>
      <c r="N75" s="39">
        <v>-25518</v>
      </c>
      <c r="O75" s="39">
        <v>-42313</v>
      </c>
      <c r="P75" s="39">
        <v>-63856</v>
      </c>
      <c r="Q75" s="39">
        <v>-89122</v>
      </c>
      <c r="R75" s="39">
        <v>-24233</v>
      </c>
      <c r="S75" s="39">
        <v>-34296</v>
      </c>
      <c r="T75" s="39">
        <v>-49601</v>
      </c>
      <c r="U75" s="39">
        <v>-58419</v>
      </c>
      <c r="V75" s="39">
        <v>-13649</v>
      </c>
      <c r="W75" s="39">
        <v>-22429</v>
      </c>
      <c r="X75" s="39">
        <v>-31041</v>
      </c>
      <c r="Y75" s="39">
        <v>-47893</v>
      </c>
      <c r="Z75" s="39">
        <v>-17285</v>
      </c>
      <c r="AA75" s="39">
        <v>-25609</v>
      </c>
      <c r="AB75" s="39">
        <v>-47555</v>
      </c>
      <c r="AC75" s="39">
        <v>-67904</v>
      </c>
    </row>
    <row r="76" spans="1:29" s="31" customFormat="1" x14ac:dyDescent="0.25">
      <c r="A76" s="37" t="s">
        <v>181</v>
      </c>
      <c r="B76" s="39">
        <v>-7184</v>
      </c>
      <c r="C76" s="39">
        <f>-16135</f>
        <v>-16135</v>
      </c>
      <c r="D76" s="39">
        <f>-26261</f>
        <v>-26261</v>
      </c>
      <c r="E76" s="39">
        <f>-37361</f>
        <v>-37361</v>
      </c>
      <c r="F76" s="39">
        <v>-8390</v>
      </c>
      <c r="G76" s="39">
        <v>-17214</v>
      </c>
      <c r="H76" s="39">
        <v>-27087</v>
      </c>
      <c r="I76" s="39">
        <v>-39522</v>
      </c>
      <c r="J76" s="39">
        <v>-8851</v>
      </c>
      <c r="K76" s="39">
        <v>-19510</v>
      </c>
      <c r="L76" s="39">
        <v>-31076</v>
      </c>
      <c r="M76" s="39">
        <v>-45283</v>
      </c>
      <c r="N76" s="39">
        <v>-10051</v>
      </c>
      <c r="O76" s="39">
        <v>-24244</v>
      </c>
      <c r="P76" s="39">
        <v>-36160</v>
      </c>
      <c r="Q76" s="39">
        <v>-47787</v>
      </c>
      <c r="R76" s="39">
        <v>-10729</v>
      </c>
      <c r="S76" s="39">
        <v>-17043</v>
      </c>
      <c r="T76" s="39">
        <v>-28122</v>
      </c>
      <c r="U76" s="39">
        <v>-35449</v>
      </c>
      <c r="V76" s="39">
        <v>-6014</v>
      </c>
      <c r="W76" s="39">
        <v>-10976</v>
      </c>
      <c r="X76" s="39">
        <v>-16905</v>
      </c>
      <c r="Y76" s="39">
        <v>-25000</v>
      </c>
      <c r="Z76" s="39">
        <v>-4379</v>
      </c>
      <c r="AA76" s="39">
        <v>-11376</v>
      </c>
      <c r="AB76" s="39">
        <v>-20263</v>
      </c>
      <c r="AC76" s="39">
        <v>-34239</v>
      </c>
    </row>
    <row r="77" spans="1:29" s="31" customFormat="1" x14ac:dyDescent="0.25">
      <c r="A77" s="37" t="s">
        <v>185</v>
      </c>
      <c r="B77" s="39">
        <v>-2138</v>
      </c>
      <c r="C77" s="39">
        <f>-8785</f>
        <v>-8785</v>
      </c>
      <c r="D77" s="39">
        <f>-16984</f>
        <v>-16984</v>
      </c>
      <c r="E77" s="39">
        <f>-22166</f>
        <v>-22166</v>
      </c>
      <c r="F77" s="39">
        <v>-4137</v>
      </c>
      <c r="G77" s="39">
        <v>-10324</v>
      </c>
      <c r="H77" s="39">
        <v>-19038</v>
      </c>
      <c r="I77" s="39">
        <v>-23218</v>
      </c>
      <c r="J77" s="39">
        <v>-5235</v>
      </c>
      <c r="K77" s="39">
        <v>-13425</v>
      </c>
      <c r="L77" s="39">
        <v>-18858</v>
      </c>
      <c r="M77" s="39">
        <v>-25253</v>
      </c>
      <c r="N77" s="39">
        <v>-724</v>
      </c>
      <c r="O77" s="39">
        <v>-10545</v>
      </c>
      <c r="P77" s="39">
        <v>-23762</v>
      </c>
      <c r="Q77" s="39">
        <v>-50504</v>
      </c>
      <c r="R77" s="39">
        <v>-13627</v>
      </c>
      <c r="S77" s="39">
        <v>-2874</v>
      </c>
      <c r="T77" s="39">
        <v>-2965</v>
      </c>
      <c r="U77" s="39">
        <v>-3155</v>
      </c>
      <c r="V77" s="39">
        <v>-2446</v>
      </c>
      <c r="W77" s="39">
        <v>-2193</v>
      </c>
      <c r="X77" s="39">
        <v>-2655</v>
      </c>
      <c r="Y77" s="39">
        <v>191</v>
      </c>
      <c r="Z77" s="39">
        <v>0</v>
      </c>
      <c r="AA77" s="39">
        <v>0</v>
      </c>
      <c r="AB77" s="39">
        <v>-491</v>
      </c>
      <c r="AC77" s="39">
        <v>-3591</v>
      </c>
    </row>
    <row r="78" spans="1:29" s="31" customFormat="1" x14ac:dyDescent="0.25">
      <c r="A78" s="38" t="s">
        <v>190</v>
      </c>
      <c r="B78" s="40">
        <v>-1771</v>
      </c>
      <c r="C78" s="40">
        <v>0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</row>
    <row r="79" spans="1:29" s="31" customFormat="1" x14ac:dyDescent="0.25">
      <c r="A79" s="37" t="s">
        <v>195</v>
      </c>
      <c r="B79" s="39">
        <v>0</v>
      </c>
      <c r="C79" s="39">
        <v>0</v>
      </c>
      <c r="D79" s="39">
        <v>0</v>
      </c>
      <c r="E79" s="39">
        <v>-890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-825</v>
      </c>
      <c r="W79" s="39">
        <v>0</v>
      </c>
      <c r="X79" s="39">
        <v>0</v>
      </c>
      <c r="Y79" s="39">
        <v>-4979</v>
      </c>
      <c r="Z79" s="39">
        <v>-1776</v>
      </c>
      <c r="AA79" s="39">
        <v>-3294</v>
      </c>
      <c r="AB79" s="39">
        <v>-6543</v>
      </c>
      <c r="AC79" s="39">
        <v>-7389</v>
      </c>
    </row>
    <row r="80" spans="1:29" s="36" customFormat="1" x14ac:dyDescent="0.25">
      <c r="A80" s="35" t="s">
        <v>198</v>
      </c>
      <c r="B80" s="41">
        <f>+SUM(B72:B79)</f>
        <v>-831</v>
      </c>
      <c r="C80" s="41">
        <f t="shared" ref="C80:AC80" si="18">+SUM(C72:C79)</f>
        <v>13136</v>
      </c>
      <c r="D80" s="41">
        <f t="shared" si="18"/>
        <v>19031</v>
      </c>
      <c r="E80" s="41">
        <f t="shared" si="18"/>
        <v>29639</v>
      </c>
      <c r="F80" s="41">
        <f t="shared" si="18"/>
        <v>-1202</v>
      </c>
      <c r="G80" s="41">
        <f t="shared" si="18"/>
        <v>4872</v>
      </c>
      <c r="H80" s="41">
        <f t="shared" si="18"/>
        <v>14059</v>
      </c>
      <c r="I80" s="41">
        <f t="shared" si="18"/>
        <v>25728</v>
      </c>
      <c r="J80" s="41">
        <f t="shared" si="18"/>
        <v>5621</v>
      </c>
      <c r="K80" s="41">
        <f t="shared" si="18"/>
        <v>2869</v>
      </c>
      <c r="L80" s="41">
        <f t="shared" si="18"/>
        <v>14475</v>
      </c>
      <c r="M80" s="41">
        <f t="shared" si="18"/>
        <v>19130</v>
      </c>
      <c r="N80" s="41">
        <f t="shared" si="18"/>
        <v>5424</v>
      </c>
      <c r="O80" s="41">
        <f t="shared" si="18"/>
        <v>1639</v>
      </c>
      <c r="P80" s="41">
        <f t="shared" si="18"/>
        <v>8678</v>
      </c>
      <c r="Q80" s="41">
        <f t="shared" si="18"/>
        <v>-2939</v>
      </c>
      <c r="R80" s="41">
        <f t="shared" si="18"/>
        <v>-9488</v>
      </c>
      <c r="S80" s="41">
        <f t="shared" si="18"/>
        <v>-9251</v>
      </c>
      <c r="T80" s="41">
        <f t="shared" si="18"/>
        <v>-15992</v>
      </c>
      <c r="U80" s="41">
        <f t="shared" si="18"/>
        <v>-6358</v>
      </c>
      <c r="V80" s="41">
        <f t="shared" si="18"/>
        <v>-3160</v>
      </c>
      <c r="W80" s="41">
        <f t="shared" si="18"/>
        <v>2928</v>
      </c>
      <c r="X80" s="41">
        <f t="shared" si="18"/>
        <v>11631</v>
      </c>
      <c r="Y80" s="41">
        <f t="shared" si="18"/>
        <v>14228</v>
      </c>
      <c r="Z80" s="41">
        <f t="shared" si="18"/>
        <v>1357</v>
      </c>
      <c r="AA80" s="41">
        <f t="shared" si="18"/>
        <v>13217</v>
      </c>
      <c r="AB80" s="41">
        <f t="shared" si="18"/>
        <v>24096</v>
      </c>
      <c r="AC80" s="41">
        <f t="shared" si="18"/>
        <v>40330</v>
      </c>
    </row>
    <row r="81" spans="1:29" x14ac:dyDescent="0.25">
      <c r="A81" s="4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1:29" s="31" customFormat="1" x14ac:dyDescent="0.25">
      <c r="A82" s="34" t="s">
        <v>200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spans="1:29" s="31" customFormat="1" x14ac:dyDescent="0.25">
      <c r="A83" s="45" t="s">
        <v>201</v>
      </c>
      <c r="B83" s="43">
        <f>+SUM(B84:B86)</f>
        <v>0</v>
      </c>
      <c r="C83" s="43">
        <f t="shared" ref="C83:AC83" si="19">+SUM(C84:C86)</f>
        <v>0</v>
      </c>
      <c r="D83" s="43">
        <f t="shared" si="19"/>
        <v>617</v>
      </c>
      <c r="E83" s="43">
        <f t="shared" si="19"/>
        <v>0</v>
      </c>
      <c r="F83" s="43">
        <f t="shared" si="19"/>
        <v>0</v>
      </c>
      <c r="G83" s="43">
        <f t="shared" si="19"/>
        <v>0</v>
      </c>
      <c r="H83" s="43">
        <f t="shared" si="19"/>
        <v>0</v>
      </c>
      <c r="I83" s="43">
        <f t="shared" si="19"/>
        <v>0</v>
      </c>
      <c r="J83" s="43">
        <f t="shared" si="19"/>
        <v>0</v>
      </c>
      <c r="K83" s="43">
        <f t="shared" si="19"/>
        <v>0</v>
      </c>
      <c r="L83" s="43">
        <f t="shared" si="19"/>
        <v>0</v>
      </c>
      <c r="M83" s="43">
        <f t="shared" si="19"/>
        <v>0</v>
      </c>
      <c r="N83" s="43">
        <f t="shared" si="19"/>
        <v>9442</v>
      </c>
      <c r="O83" s="43">
        <f t="shared" si="19"/>
        <v>0</v>
      </c>
      <c r="P83" s="43">
        <f t="shared" si="19"/>
        <v>9087</v>
      </c>
      <c r="Q83" s="43">
        <f t="shared" si="19"/>
        <v>6558</v>
      </c>
      <c r="R83" s="43">
        <f t="shared" si="19"/>
        <v>0</v>
      </c>
      <c r="S83" s="43">
        <f t="shared" si="19"/>
        <v>0</v>
      </c>
      <c r="T83" s="43">
        <f t="shared" si="19"/>
        <v>0</v>
      </c>
      <c r="U83" s="43">
        <f t="shared" si="19"/>
        <v>0</v>
      </c>
      <c r="V83" s="43">
        <f t="shared" si="19"/>
        <v>0</v>
      </c>
      <c r="W83" s="43">
        <f t="shared" si="19"/>
        <v>0</v>
      </c>
      <c r="X83" s="43">
        <f t="shared" si="19"/>
        <v>0</v>
      </c>
      <c r="Y83" s="43">
        <f t="shared" si="19"/>
        <v>0</v>
      </c>
      <c r="Z83" s="43">
        <f t="shared" si="19"/>
        <v>0</v>
      </c>
      <c r="AA83" s="43">
        <f t="shared" si="19"/>
        <v>0</v>
      </c>
      <c r="AB83" s="43">
        <f t="shared" si="19"/>
        <v>0</v>
      </c>
      <c r="AC83" s="43">
        <f t="shared" si="19"/>
        <v>0</v>
      </c>
    </row>
    <row r="84" spans="1:29" s="31" customFormat="1" hidden="1" x14ac:dyDescent="0.25">
      <c r="A84" s="38" t="s">
        <v>204</v>
      </c>
      <c r="B84" s="40">
        <v>0</v>
      </c>
      <c r="C84" s="40">
        <v>0</v>
      </c>
      <c r="D84" s="40">
        <v>617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5616</v>
      </c>
      <c r="Q84" s="40">
        <v>3087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</row>
    <row r="85" spans="1:29" s="31" customFormat="1" hidden="1" x14ac:dyDescent="0.25">
      <c r="A85" s="37" t="s">
        <v>205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5971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</row>
    <row r="86" spans="1:29" s="31" customFormat="1" hidden="1" x14ac:dyDescent="0.25">
      <c r="A86" s="37" t="s">
        <v>213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3471</v>
      </c>
      <c r="O86" s="39">
        <v>0</v>
      </c>
      <c r="P86" s="39">
        <v>3471</v>
      </c>
      <c r="Q86" s="39">
        <v>3471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</row>
    <row r="87" spans="1:29" s="31" customFormat="1" x14ac:dyDescent="0.25">
      <c r="A87" s="45" t="s">
        <v>214</v>
      </c>
      <c r="B87" s="43">
        <f>+SUM(B88:B92)</f>
        <v>-10017</v>
      </c>
      <c r="C87" s="43">
        <f t="shared" ref="C87:AC87" si="20">+SUM(C88:C92)</f>
        <v>-23864</v>
      </c>
      <c r="D87" s="43">
        <f t="shared" si="20"/>
        <v>-32337</v>
      </c>
      <c r="E87" s="43">
        <f t="shared" si="20"/>
        <v>-40990</v>
      </c>
      <c r="F87" s="43">
        <f t="shared" si="20"/>
        <v>-6431</v>
      </c>
      <c r="G87" s="43">
        <f t="shared" si="20"/>
        <v>-13508</v>
      </c>
      <c r="H87" s="43">
        <f t="shared" si="20"/>
        <v>-20558</v>
      </c>
      <c r="I87" s="43">
        <f t="shared" si="20"/>
        <v>-36696</v>
      </c>
      <c r="J87" s="43">
        <f t="shared" si="20"/>
        <v>-10560</v>
      </c>
      <c r="K87" s="43">
        <f t="shared" si="20"/>
        <v>-20656</v>
      </c>
      <c r="L87" s="43">
        <f t="shared" si="20"/>
        <v>-30704</v>
      </c>
      <c r="M87" s="43">
        <f t="shared" si="20"/>
        <v>-37367</v>
      </c>
      <c r="N87" s="43">
        <f t="shared" si="20"/>
        <v>-3644</v>
      </c>
      <c r="O87" s="43">
        <f t="shared" si="20"/>
        <v>-5784</v>
      </c>
      <c r="P87" s="43">
        <f t="shared" si="20"/>
        <v>-14655</v>
      </c>
      <c r="Q87" s="43">
        <f t="shared" si="20"/>
        <v>-48844</v>
      </c>
      <c r="R87" s="43">
        <f t="shared" si="20"/>
        <v>-6382</v>
      </c>
      <c r="S87" s="43">
        <f t="shared" si="20"/>
        <v>-5669</v>
      </c>
      <c r="T87" s="43">
        <f t="shared" si="20"/>
        <v>-6266</v>
      </c>
      <c r="U87" s="43">
        <f t="shared" si="20"/>
        <v>-7397</v>
      </c>
      <c r="V87" s="43">
        <f t="shared" si="20"/>
        <v>-807</v>
      </c>
      <c r="W87" s="43">
        <f t="shared" si="20"/>
        <v>-2266</v>
      </c>
      <c r="X87" s="43">
        <f t="shared" si="20"/>
        <v>-4048</v>
      </c>
      <c r="Y87" s="43">
        <f t="shared" si="20"/>
        <v>-7031</v>
      </c>
      <c r="Z87" s="43">
        <f t="shared" si="20"/>
        <v>-1231</v>
      </c>
      <c r="AA87" s="43">
        <f t="shared" si="20"/>
        <v>-7572</v>
      </c>
      <c r="AB87" s="43">
        <f t="shared" si="20"/>
        <v>-6588</v>
      </c>
      <c r="AC87" s="43">
        <f t="shared" si="20"/>
        <v>-11040</v>
      </c>
    </row>
    <row r="88" spans="1:29" s="31" customFormat="1" hidden="1" x14ac:dyDescent="0.25">
      <c r="A88" s="32" t="s">
        <v>215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-1211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</row>
    <row r="89" spans="1:29" s="31" customFormat="1" hidden="1" x14ac:dyDescent="0.25">
      <c r="A89" s="32" t="s">
        <v>217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-2586</v>
      </c>
      <c r="M89" s="39">
        <v>-3699</v>
      </c>
      <c r="N89" s="39">
        <v>0</v>
      </c>
      <c r="O89" s="39">
        <v>0</v>
      </c>
      <c r="P89" s="39">
        <v>-2529</v>
      </c>
      <c r="Q89" s="39">
        <v>0</v>
      </c>
      <c r="R89" s="39">
        <v>-2052</v>
      </c>
      <c r="S89" s="39">
        <v>-340</v>
      </c>
      <c r="T89" s="39">
        <v>-340</v>
      </c>
      <c r="U89" s="39">
        <v>-340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</row>
    <row r="90" spans="1:29" s="31" customFormat="1" hidden="1" x14ac:dyDescent="0.25">
      <c r="A90" s="30" t="s">
        <v>221</v>
      </c>
      <c r="B90" s="40">
        <v>-7901</v>
      </c>
      <c r="C90" s="40">
        <v>-17893</v>
      </c>
      <c r="D90" s="40">
        <v>-26609</v>
      </c>
      <c r="E90" s="40">
        <v>-40990</v>
      </c>
      <c r="F90" s="40">
        <v>-6431</v>
      </c>
      <c r="G90" s="40">
        <v>-12356</v>
      </c>
      <c r="H90" s="40">
        <v>-20558</v>
      </c>
      <c r="I90" s="40">
        <v>-34024</v>
      </c>
      <c r="J90" s="40">
        <v>-6212</v>
      </c>
      <c r="K90" s="40">
        <v>-18302</v>
      </c>
      <c r="L90" s="40">
        <v>-26391</v>
      </c>
      <c r="M90" s="40">
        <v>-32461</v>
      </c>
      <c r="N90" s="40">
        <v>-3644</v>
      </c>
      <c r="O90" s="40">
        <v>-4930</v>
      </c>
      <c r="P90" s="40">
        <v>-9624</v>
      </c>
      <c r="Q90" s="40">
        <v>-12116</v>
      </c>
      <c r="R90" s="40">
        <v>-4305</v>
      </c>
      <c r="S90" s="40">
        <v>-5229</v>
      </c>
      <c r="T90" s="40">
        <v>-5428</v>
      </c>
      <c r="U90" s="40">
        <v>-6301</v>
      </c>
      <c r="V90" s="40">
        <v>-461</v>
      </c>
      <c r="W90" s="40">
        <v>-2173</v>
      </c>
      <c r="X90" s="40">
        <v>-3923</v>
      </c>
      <c r="Y90" s="40">
        <v>-6338</v>
      </c>
      <c r="Z90" s="40">
        <v>-1231</v>
      </c>
      <c r="AA90" s="40">
        <v>-3630</v>
      </c>
      <c r="AB90" s="40">
        <v>-2624</v>
      </c>
      <c r="AC90" s="40">
        <v>-6075</v>
      </c>
    </row>
    <row r="91" spans="1:29" s="31" customFormat="1" hidden="1" x14ac:dyDescent="0.25">
      <c r="A91" s="32" t="s">
        <v>224</v>
      </c>
      <c r="B91" s="39">
        <v>-2116</v>
      </c>
      <c r="C91" s="39">
        <v>-5971</v>
      </c>
      <c r="D91" s="39">
        <v>-5728</v>
      </c>
      <c r="E91" s="39">
        <v>0</v>
      </c>
      <c r="F91" s="39">
        <v>0</v>
      </c>
      <c r="G91" s="39">
        <v>0</v>
      </c>
      <c r="H91" s="39">
        <v>0</v>
      </c>
      <c r="I91" s="39">
        <v>-2672</v>
      </c>
      <c r="J91" s="39">
        <v>-3137</v>
      </c>
      <c r="K91" s="39">
        <v>0</v>
      </c>
      <c r="L91" s="39">
        <v>-1727</v>
      </c>
      <c r="M91" s="39">
        <v>-1207</v>
      </c>
      <c r="N91" s="39">
        <v>0</v>
      </c>
      <c r="O91" s="39">
        <v>-854</v>
      </c>
      <c r="P91" s="39">
        <v>-2502</v>
      </c>
      <c r="Q91" s="39">
        <v>-36728</v>
      </c>
      <c r="R91" s="39">
        <v>-25</v>
      </c>
      <c r="S91" s="39">
        <v>-100</v>
      </c>
      <c r="T91" s="39">
        <v>-498</v>
      </c>
      <c r="U91" s="39">
        <v>-756</v>
      </c>
      <c r="V91" s="39">
        <v>-346</v>
      </c>
      <c r="W91" s="39">
        <v>-93</v>
      </c>
      <c r="X91" s="39">
        <v>-125</v>
      </c>
      <c r="Y91" s="39">
        <v>-693</v>
      </c>
      <c r="Z91" s="39">
        <v>0</v>
      </c>
      <c r="AA91" s="39">
        <v>-3942</v>
      </c>
      <c r="AB91" s="39">
        <v>-3964</v>
      </c>
      <c r="AC91" s="39">
        <v>-4965</v>
      </c>
    </row>
    <row r="92" spans="1:29" s="31" customFormat="1" hidden="1" x14ac:dyDescent="0.25">
      <c r="A92" s="30" t="s">
        <v>228</v>
      </c>
      <c r="B92" s="40">
        <v>0</v>
      </c>
      <c r="C92" s="40">
        <v>0</v>
      </c>
      <c r="D92" s="40">
        <v>0</v>
      </c>
      <c r="E92" s="40">
        <v>0</v>
      </c>
      <c r="F92" s="40">
        <v>0</v>
      </c>
      <c r="G92" s="40">
        <v>-1152</v>
      </c>
      <c r="H92" s="40">
        <v>0</v>
      </c>
      <c r="I92" s="40">
        <v>0</v>
      </c>
      <c r="J92" s="40">
        <v>0</v>
      </c>
      <c r="K92" s="40">
        <v>-2354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</row>
    <row r="93" spans="1:29" s="36" customFormat="1" x14ac:dyDescent="0.25">
      <c r="A93" s="35" t="s">
        <v>229</v>
      </c>
      <c r="B93" s="42">
        <f>+B83+B87</f>
        <v>-10017</v>
      </c>
      <c r="C93" s="42">
        <f t="shared" ref="C93:AC93" si="21">+C83+C87</f>
        <v>-23864</v>
      </c>
      <c r="D93" s="42">
        <f t="shared" si="21"/>
        <v>-31720</v>
      </c>
      <c r="E93" s="42">
        <f t="shared" si="21"/>
        <v>-40990</v>
      </c>
      <c r="F93" s="42">
        <f t="shared" si="21"/>
        <v>-6431</v>
      </c>
      <c r="G93" s="42">
        <f t="shared" si="21"/>
        <v>-13508</v>
      </c>
      <c r="H93" s="42">
        <f t="shared" si="21"/>
        <v>-20558</v>
      </c>
      <c r="I93" s="42">
        <f t="shared" si="21"/>
        <v>-36696</v>
      </c>
      <c r="J93" s="42">
        <f t="shared" si="21"/>
        <v>-10560</v>
      </c>
      <c r="K93" s="42">
        <f t="shared" si="21"/>
        <v>-20656</v>
      </c>
      <c r="L93" s="42">
        <f t="shared" si="21"/>
        <v>-30704</v>
      </c>
      <c r="M93" s="42">
        <f t="shared" si="21"/>
        <v>-37367</v>
      </c>
      <c r="N93" s="42">
        <f t="shared" si="21"/>
        <v>5798</v>
      </c>
      <c r="O93" s="42">
        <f t="shared" si="21"/>
        <v>-5784</v>
      </c>
      <c r="P93" s="42">
        <f t="shared" si="21"/>
        <v>-5568</v>
      </c>
      <c r="Q93" s="42">
        <f t="shared" si="21"/>
        <v>-42286</v>
      </c>
      <c r="R93" s="42">
        <f t="shared" si="21"/>
        <v>-6382</v>
      </c>
      <c r="S93" s="42">
        <f t="shared" si="21"/>
        <v>-5669</v>
      </c>
      <c r="T93" s="42">
        <f t="shared" si="21"/>
        <v>-6266</v>
      </c>
      <c r="U93" s="42">
        <f t="shared" si="21"/>
        <v>-7397</v>
      </c>
      <c r="V93" s="42">
        <f t="shared" si="21"/>
        <v>-807</v>
      </c>
      <c r="W93" s="42">
        <f t="shared" si="21"/>
        <v>-2266</v>
      </c>
      <c r="X93" s="42">
        <f t="shared" si="21"/>
        <v>-4048</v>
      </c>
      <c r="Y93" s="42">
        <f t="shared" si="21"/>
        <v>-7031</v>
      </c>
      <c r="Z93" s="42">
        <f t="shared" si="21"/>
        <v>-1231</v>
      </c>
      <c r="AA93" s="42">
        <f t="shared" si="21"/>
        <v>-7572</v>
      </c>
      <c r="AB93" s="42">
        <f t="shared" si="21"/>
        <v>-6588</v>
      </c>
      <c r="AC93" s="42">
        <f t="shared" si="21"/>
        <v>-11040</v>
      </c>
    </row>
    <row r="94" spans="1:29" x14ac:dyDescent="0.25">
      <c r="A94" s="4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1:29" s="31" customFormat="1" x14ac:dyDescent="0.25">
      <c r="A95" s="34" t="s">
        <v>232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spans="1:29" s="31" customFormat="1" x14ac:dyDescent="0.25">
      <c r="A96" s="45" t="s">
        <v>233</v>
      </c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spans="1:29" s="31" customFormat="1" x14ac:dyDescent="0.25">
      <c r="A97" s="46" t="s">
        <v>234</v>
      </c>
      <c r="B97" s="40">
        <v>0</v>
      </c>
      <c r="C97" s="40">
        <v>0</v>
      </c>
      <c r="D97" s="40">
        <v>6849</v>
      </c>
      <c r="E97" s="40">
        <v>12431</v>
      </c>
      <c r="F97" s="40">
        <v>24499</v>
      </c>
      <c r="G97" s="40">
        <v>28582</v>
      </c>
      <c r="H97" s="40">
        <v>28582</v>
      </c>
      <c r="I97" s="40">
        <v>152813</v>
      </c>
      <c r="J97" s="40">
        <v>4877</v>
      </c>
      <c r="K97" s="40">
        <v>44704</v>
      </c>
      <c r="L97" s="40">
        <v>44704</v>
      </c>
      <c r="M97" s="40">
        <v>48042</v>
      </c>
      <c r="N97" s="40">
        <v>24339</v>
      </c>
      <c r="O97" s="40">
        <v>38958</v>
      </c>
      <c r="P97" s="40">
        <v>60449</v>
      </c>
      <c r="Q97" s="40">
        <v>242920</v>
      </c>
      <c r="R97" s="40">
        <v>0</v>
      </c>
      <c r="S97" s="40">
        <v>10000</v>
      </c>
      <c r="T97" s="40">
        <v>10000</v>
      </c>
      <c r="U97" s="40">
        <v>10000</v>
      </c>
      <c r="V97" s="40">
        <v>0</v>
      </c>
      <c r="W97" s="40">
        <v>0</v>
      </c>
      <c r="X97" s="40">
        <v>4406</v>
      </c>
      <c r="Y97" s="40">
        <v>4406</v>
      </c>
      <c r="Z97" s="40">
        <v>0</v>
      </c>
      <c r="AA97" s="40">
        <v>0</v>
      </c>
      <c r="AB97" s="40">
        <v>9500</v>
      </c>
      <c r="AC97" s="40">
        <v>9500</v>
      </c>
    </row>
    <row r="98" spans="1:29" s="31" customFormat="1" x14ac:dyDescent="0.25">
      <c r="A98" s="47" t="s">
        <v>237</v>
      </c>
      <c r="B98" s="39">
        <v>0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9212</v>
      </c>
      <c r="U98" s="39">
        <v>9212</v>
      </c>
      <c r="V98" s="39">
        <v>0</v>
      </c>
      <c r="W98" s="39">
        <v>0</v>
      </c>
      <c r="X98" s="39">
        <v>0</v>
      </c>
      <c r="Y98" s="39">
        <v>9873</v>
      </c>
      <c r="Z98" s="39">
        <v>0</v>
      </c>
      <c r="AA98" s="39">
        <v>0</v>
      </c>
      <c r="AB98" s="39">
        <v>0</v>
      </c>
      <c r="AC98" s="39">
        <v>0</v>
      </c>
    </row>
    <row r="99" spans="1:29" s="31" customFormat="1" x14ac:dyDescent="0.25">
      <c r="A99" s="45" t="s">
        <v>239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spans="1:29" s="31" customFormat="1" x14ac:dyDescent="0.25">
      <c r="A100" s="47" t="s">
        <v>240</v>
      </c>
      <c r="B100" s="39">
        <v>-3558</v>
      </c>
      <c r="C100" s="39">
        <v>-2863</v>
      </c>
      <c r="D100" s="39">
        <v>-6403</v>
      </c>
      <c r="E100" s="39">
        <v>-11602</v>
      </c>
      <c r="F100" s="39">
        <v>-13857</v>
      </c>
      <c r="G100" s="39">
        <v>-14070</v>
      </c>
      <c r="H100" s="39">
        <v>-17471</v>
      </c>
      <c r="I100" s="39">
        <v>-122707</v>
      </c>
      <c r="J100" s="39">
        <v>-10692</v>
      </c>
      <c r="K100" s="39">
        <v>-32124</v>
      </c>
      <c r="L100" s="39">
        <v>-32243</v>
      </c>
      <c r="M100" s="39">
        <v>-27948</v>
      </c>
      <c r="N100" s="39">
        <v>-25960</v>
      </c>
      <c r="O100" s="39">
        <v>-22103</v>
      </c>
      <c r="P100" s="39">
        <v>-43752</v>
      </c>
      <c r="Q100" s="39">
        <v>-132891</v>
      </c>
      <c r="R100" s="39">
        <v>-165</v>
      </c>
      <c r="S100" s="39">
        <v>-9108</v>
      </c>
      <c r="T100" s="39">
        <v>-9150</v>
      </c>
      <c r="U100" s="39">
        <v>-9150</v>
      </c>
      <c r="V100" s="39">
        <v>-71</v>
      </c>
      <c r="W100" s="39">
        <v>-182</v>
      </c>
      <c r="X100" s="39">
        <v>-968</v>
      </c>
      <c r="Y100" s="39">
        <v>-2428</v>
      </c>
      <c r="Z100" s="39">
        <v>-666</v>
      </c>
      <c r="AA100" s="39">
        <v>-1338</v>
      </c>
      <c r="AB100" s="39">
        <v>-12155</v>
      </c>
      <c r="AC100" s="39">
        <v>-12867</v>
      </c>
    </row>
    <row r="101" spans="1:29" s="31" customFormat="1" x14ac:dyDescent="0.25">
      <c r="A101" s="46" t="s">
        <v>243</v>
      </c>
      <c r="B101" s="40">
        <v>0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-5016</v>
      </c>
      <c r="S101" s="40">
        <v>-6905</v>
      </c>
      <c r="T101" s="40">
        <v>-10086</v>
      </c>
      <c r="U101" s="40">
        <v>-12858</v>
      </c>
      <c r="V101" s="40">
        <v>-3618</v>
      </c>
      <c r="W101" s="40">
        <v>-7629</v>
      </c>
      <c r="X101" s="40">
        <v>-12002</v>
      </c>
      <c r="Y101" s="40">
        <v>-16300</v>
      </c>
      <c r="Z101" s="40">
        <v>-4404</v>
      </c>
      <c r="AA101" s="40">
        <v>-9136</v>
      </c>
      <c r="AB101" s="40">
        <v>-14387</v>
      </c>
      <c r="AC101" s="40">
        <v>-20364</v>
      </c>
    </row>
    <row r="102" spans="1:29" s="31" customFormat="1" x14ac:dyDescent="0.25">
      <c r="A102" s="47" t="s">
        <v>246</v>
      </c>
      <c r="B102" s="39">
        <v>0</v>
      </c>
      <c r="C102" s="39">
        <v>-2829</v>
      </c>
      <c r="D102" s="39">
        <v>-4221</v>
      </c>
      <c r="E102" s="39">
        <v>-5602</v>
      </c>
      <c r="F102" s="39">
        <v>-1616</v>
      </c>
      <c r="G102" s="39">
        <v>-3296</v>
      </c>
      <c r="H102" s="39">
        <v>-4840</v>
      </c>
      <c r="I102" s="39">
        <v>-6919</v>
      </c>
      <c r="J102" s="39">
        <v>-1408</v>
      </c>
      <c r="K102" s="39">
        <v>-2985</v>
      </c>
      <c r="L102" s="39">
        <v>-4809</v>
      </c>
      <c r="M102" s="39">
        <v>-6633</v>
      </c>
      <c r="N102" s="39">
        <v>-1842</v>
      </c>
      <c r="O102" s="39">
        <v>-3699</v>
      </c>
      <c r="P102" s="39">
        <v>-5522</v>
      </c>
      <c r="Q102" s="39">
        <v>-7289</v>
      </c>
      <c r="R102" s="39">
        <v>-2471</v>
      </c>
      <c r="S102" s="39">
        <v>-4747</v>
      </c>
      <c r="T102" s="39">
        <v>-7181</v>
      </c>
      <c r="U102" s="39">
        <v>-9657</v>
      </c>
      <c r="V102" s="39">
        <v>-3277</v>
      </c>
      <c r="W102" s="39">
        <v>-6670</v>
      </c>
      <c r="X102" s="39">
        <v>-8946</v>
      </c>
      <c r="Y102" s="39">
        <v>-11971</v>
      </c>
      <c r="Z102" s="39">
        <v>-2492</v>
      </c>
      <c r="AA102" s="39">
        <v>-4974</v>
      </c>
      <c r="AB102" s="39">
        <v>-7562</v>
      </c>
      <c r="AC102" s="39">
        <v>-10124</v>
      </c>
    </row>
    <row r="103" spans="1:29" s="31" customFormat="1" x14ac:dyDescent="0.25">
      <c r="A103" s="46" t="s">
        <v>247</v>
      </c>
      <c r="B103" s="40">
        <v>0</v>
      </c>
      <c r="C103" s="40">
        <v>0</v>
      </c>
      <c r="D103" s="40">
        <v>-1157</v>
      </c>
      <c r="E103" s="40">
        <v>-1157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-1900</v>
      </c>
      <c r="M103" s="40">
        <v>-6540</v>
      </c>
      <c r="N103" s="40">
        <v>-7075</v>
      </c>
      <c r="O103" s="40">
        <v>-7075</v>
      </c>
      <c r="P103" s="40">
        <v>-7075</v>
      </c>
      <c r="Q103" s="40">
        <v>-7075</v>
      </c>
      <c r="R103" s="40">
        <v>-6642</v>
      </c>
      <c r="S103" s="40">
        <v>-6642</v>
      </c>
      <c r="T103" s="40">
        <v>-6642</v>
      </c>
      <c r="U103" s="40">
        <v>-6642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</row>
    <row r="104" spans="1:29" s="36" customFormat="1" x14ac:dyDescent="0.25">
      <c r="A104" s="35" t="s">
        <v>249</v>
      </c>
      <c r="B104" s="42">
        <f t="shared" ref="B104:AC104" si="22">+SUM(B97:B103)</f>
        <v>-3558</v>
      </c>
      <c r="C104" s="42">
        <f t="shared" si="22"/>
        <v>-5692</v>
      </c>
      <c r="D104" s="42">
        <f t="shared" si="22"/>
        <v>-4932</v>
      </c>
      <c r="E104" s="42">
        <f t="shared" si="22"/>
        <v>-5930</v>
      </c>
      <c r="F104" s="42">
        <f t="shared" si="22"/>
        <v>9026</v>
      </c>
      <c r="G104" s="42">
        <f t="shared" si="22"/>
        <v>11216</v>
      </c>
      <c r="H104" s="42">
        <f t="shared" si="22"/>
        <v>6271</v>
      </c>
      <c r="I104" s="42">
        <f t="shared" si="22"/>
        <v>23187</v>
      </c>
      <c r="J104" s="42">
        <f t="shared" si="22"/>
        <v>-7223</v>
      </c>
      <c r="K104" s="42">
        <f t="shared" si="22"/>
        <v>9595</v>
      </c>
      <c r="L104" s="42">
        <f t="shared" si="22"/>
        <v>5752</v>
      </c>
      <c r="M104" s="42">
        <f t="shared" si="22"/>
        <v>6921</v>
      </c>
      <c r="N104" s="42">
        <f t="shared" si="22"/>
        <v>-10538</v>
      </c>
      <c r="O104" s="42">
        <f t="shared" si="22"/>
        <v>6081</v>
      </c>
      <c r="P104" s="42">
        <f t="shared" si="22"/>
        <v>4100</v>
      </c>
      <c r="Q104" s="42">
        <f t="shared" si="22"/>
        <v>95665</v>
      </c>
      <c r="R104" s="42">
        <f t="shared" si="22"/>
        <v>-14294</v>
      </c>
      <c r="S104" s="42">
        <f t="shared" si="22"/>
        <v>-17402</v>
      </c>
      <c r="T104" s="42">
        <f t="shared" si="22"/>
        <v>-13847</v>
      </c>
      <c r="U104" s="42">
        <f t="shared" si="22"/>
        <v>-19095</v>
      </c>
      <c r="V104" s="42">
        <f t="shared" si="22"/>
        <v>-6966</v>
      </c>
      <c r="W104" s="42">
        <f t="shared" si="22"/>
        <v>-14481</v>
      </c>
      <c r="X104" s="42">
        <f t="shared" si="22"/>
        <v>-17510</v>
      </c>
      <c r="Y104" s="42">
        <f t="shared" si="22"/>
        <v>-16420</v>
      </c>
      <c r="Z104" s="42">
        <f t="shared" si="22"/>
        <v>-7562</v>
      </c>
      <c r="AA104" s="42">
        <f t="shared" si="22"/>
        <v>-15448</v>
      </c>
      <c r="AB104" s="42">
        <f t="shared" si="22"/>
        <v>-24604</v>
      </c>
      <c r="AC104" s="42">
        <f t="shared" si="22"/>
        <v>-33855</v>
      </c>
    </row>
    <row r="105" spans="1:29" x14ac:dyDescent="0.25">
      <c r="A105" s="4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1:29" s="31" customFormat="1" x14ac:dyDescent="0.25">
      <c r="A106" s="30" t="s">
        <v>250</v>
      </c>
      <c r="B106" s="40">
        <f>+B104+B93+B80</f>
        <v>-14406</v>
      </c>
      <c r="C106" s="40">
        <f t="shared" ref="C106:AB106" si="23">+C104+C93+C80</f>
        <v>-16420</v>
      </c>
      <c r="D106" s="40">
        <f t="shared" si="23"/>
        <v>-17621</v>
      </c>
      <c r="E106" s="40">
        <f t="shared" si="23"/>
        <v>-17281</v>
      </c>
      <c r="F106" s="40">
        <f t="shared" si="23"/>
        <v>1393</v>
      </c>
      <c r="G106" s="40">
        <f t="shared" si="23"/>
        <v>2580</v>
      </c>
      <c r="H106" s="40">
        <f t="shared" si="23"/>
        <v>-228</v>
      </c>
      <c r="I106" s="40">
        <f t="shared" si="23"/>
        <v>12219</v>
      </c>
      <c r="J106" s="40">
        <f t="shared" si="23"/>
        <v>-12162</v>
      </c>
      <c r="K106" s="40">
        <f>+K104+K93+K80</f>
        <v>-8192</v>
      </c>
      <c r="L106" s="40">
        <f t="shared" si="23"/>
        <v>-10477</v>
      </c>
      <c r="M106" s="40">
        <f t="shared" si="23"/>
        <v>-11316</v>
      </c>
      <c r="N106" s="40">
        <f t="shared" si="23"/>
        <v>684</v>
      </c>
      <c r="O106" s="40">
        <f t="shared" si="23"/>
        <v>1936</v>
      </c>
      <c r="P106" s="40">
        <f t="shared" si="23"/>
        <v>7210</v>
      </c>
      <c r="Q106" s="40">
        <f t="shared" si="23"/>
        <v>50440</v>
      </c>
      <c r="R106" s="40">
        <f t="shared" si="23"/>
        <v>-30164</v>
      </c>
      <c r="S106" s="40">
        <f t="shared" si="23"/>
        <v>-32322</v>
      </c>
      <c r="T106" s="40">
        <f>+T104+T93+T80</f>
        <v>-36105</v>
      </c>
      <c r="U106" s="40">
        <f t="shared" si="23"/>
        <v>-32850</v>
      </c>
      <c r="V106" s="40">
        <f t="shared" si="23"/>
        <v>-10933</v>
      </c>
      <c r="W106" s="40">
        <f t="shared" si="23"/>
        <v>-13819</v>
      </c>
      <c r="X106" s="40">
        <f t="shared" si="23"/>
        <v>-9927</v>
      </c>
      <c r="Y106" s="40">
        <f t="shared" si="23"/>
        <v>-9223</v>
      </c>
      <c r="Z106" s="40">
        <f t="shared" si="23"/>
        <v>-7436</v>
      </c>
      <c r="AA106" s="40">
        <f t="shared" si="23"/>
        <v>-9803</v>
      </c>
      <c r="AB106" s="40">
        <f t="shared" si="23"/>
        <v>-7096</v>
      </c>
      <c r="AC106" s="40">
        <f>+AC104+AC93+AC80</f>
        <v>-4565</v>
      </c>
    </row>
    <row r="107" spans="1:29" s="31" customFormat="1" x14ac:dyDescent="0.25">
      <c r="A107" s="32" t="s">
        <v>253</v>
      </c>
      <c r="B107" s="39">
        <v>0</v>
      </c>
      <c r="C107" s="39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-4275</v>
      </c>
      <c r="T107" s="39">
        <v>-4414</v>
      </c>
      <c r="U107" s="39">
        <v>-4691</v>
      </c>
      <c r="V107" s="39">
        <v>5193</v>
      </c>
      <c r="W107" s="39">
        <v>5254</v>
      </c>
      <c r="X107" s="39">
        <v>3489</v>
      </c>
      <c r="Y107" s="39">
        <v>3257</v>
      </c>
      <c r="Z107" s="39">
        <v>2488</v>
      </c>
      <c r="AA107" s="39">
        <v>2973</v>
      </c>
      <c r="AB107" s="39">
        <v>4439</v>
      </c>
      <c r="AC107" s="39">
        <v>2043</v>
      </c>
    </row>
    <row r="108" spans="1:29" s="31" customFormat="1" x14ac:dyDescent="0.25">
      <c r="A108" s="32" t="s">
        <v>255</v>
      </c>
      <c r="B108" s="39">
        <v>19673</v>
      </c>
      <c r="C108" s="39">
        <v>19673</v>
      </c>
      <c r="D108" s="39">
        <v>19673</v>
      </c>
      <c r="E108" s="39">
        <v>19673</v>
      </c>
      <c r="F108" s="39">
        <v>2358</v>
      </c>
      <c r="G108" s="39">
        <v>2358</v>
      </c>
      <c r="H108" s="39">
        <v>2358</v>
      </c>
      <c r="I108" s="39">
        <v>2358</v>
      </c>
      <c r="J108" s="39">
        <v>14624</v>
      </c>
      <c r="K108" s="39">
        <v>14624</v>
      </c>
      <c r="L108" s="39">
        <v>14624</v>
      </c>
      <c r="M108" s="39">
        <v>14624</v>
      </c>
      <c r="N108" s="39">
        <v>3308</v>
      </c>
      <c r="O108" s="39">
        <v>3308</v>
      </c>
      <c r="P108" s="39">
        <v>3308</v>
      </c>
      <c r="Q108" s="39">
        <v>3308</v>
      </c>
      <c r="R108" s="39">
        <v>56407</v>
      </c>
      <c r="S108" s="39">
        <v>56407</v>
      </c>
      <c r="T108" s="39">
        <v>56407</v>
      </c>
      <c r="U108" s="39">
        <v>56407</v>
      </c>
      <c r="V108" s="39">
        <v>18826</v>
      </c>
      <c r="W108" s="39">
        <v>18826</v>
      </c>
      <c r="X108" s="39">
        <v>18826</v>
      </c>
      <c r="Y108" s="39">
        <v>18826</v>
      </c>
      <c r="Z108" s="39">
        <v>13307</v>
      </c>
      <c r="AA108" s="39">
        <v>13307</v>
      </c>
      <c r="AB108" s="39">
        <v>13307</v>
      </c>
      <c r="AC108" s="39">
        <v>13307</v>
      </c>
    </row>
    <row r="109" spans="1:29" s="31" customFormat="1" x14ac:dyDescent="0.25">
      <c r="A109" s="33" t="s">
        <v>256</v>
      </c>
      <c r="B109" s="43">
        <f>+SUM(B106:B108)</f>
        <v>5267</v>
      </c>
      <c r="C109" s="43">
        <f t="shared" ref="C109:AC109" si="24">+SUM(C106:C108)</f>
        <v>3253</v>
      </c>
      <c r="D109" s="43">
        <f t="shared" si="24"/>
        <v>2052</v>
      </c>
      <c r="E109" s="43">
        <f t="shared" si="24"/>
        <v>2392</v>
      </c>
      <c r="F109" s="43">
        <f t="shared" si="24"/>
        <v>3751</v>
      </c>
      <c r="G109" s="43">
        <f t="shared" si="24"/>
        <v>4938</v>
      </c>
      <c r="H109" s="43">
        <f t="shared" si="24"/>
        <v>2130</v>
      </c>
      <c r="I109" s="43">
        <f t="shared" si="24"/>
        <v>14577</v>
      </c>
      <c r="J109" s="43">
        <f t="shared" si="24"/>
        <v>2462</v>
      </c>
      <c r="K109" s="43">
        <f t="shared" si="24"/>
        <v>6432</v>
      </c>
      <c r="L109" s="43">
        <f t="shared" si="24"/>
        <v>4147</v>
      </c>
      <c r="M109" s="43">
        <f t="shared" si="24"/>
        <v>3308</v>
      </c>
      <c r="N109" s="43">
        <f t="shared" si="24"/>
        <v>3992</v>
      </c>
      <c r="O109" s="43">
        <f t="shared" si="24"/>
        <v>5244</v>
      </c>
      <c r="P109" s="43">
        <f t="shared" si="24"/>
        <v>10518</v>
      </c>
      <c r="Q109" s="43">
        <f t="shared" si="24"/>
        <v>53748</v>
      </c>
      <c r="R109" s="43">
        <f t="shared" si="24"/>
        <v>26243</v>
      </c>
      <c r="S109" s="43">
        <f t="shared" si="24"/>
        <v>19810</v>
      </c>
      <c r="T109" s="43">
        <f t="shared" si="24"/>
        <v>15888</v>
      </c>
      <c r="U109" s="43">
        <f t="shared" si="24"/>
        <v>18866</v>
      </c>
      <c r="V109" s="43">
        <f t="shared" si="24"/>
        <v>13086</v>
      </c>
      <c r="W109" s="43">
        <f t="shared" si="24"/>
        <v>10261</v>
      </c>
      <c r="X109" s="43">
        <f t="shared" si="24"/>
        <v>12388</v>
      </c>
      <c r="Y109" s="43">
        <f t="shared" si="24"/>
        <v>12860</v>
      </c>
      <c r="Z109" s="43">
        <f t="shared" si="24"/>
        <v>8359</v>
      </c>
      <c r="AA109" s="43">
        <f t="shared" si="24"/>
        <v>6477</v>
      </c>
      <c r="AB109" s="43">
        <f t="shared" si="24"/>
        <v>10650</v>
      </c>
      <c r="AC109" s="43">
        <f t="shared" si="24"/>
        <v>10785</v>
      </c>
    </row>
  </sheetData>
  <conditionalFormatting sqref="B3:AC19 F20:AC26 B20:E31 B32:AC67 B69:E79 B80:AC1048576">
    <cfRule type="cellIs" dxfId="13" priority="7" operator="greaterThan">
      <formula>0</formula>
    </cfRule>
    <cfRule type="cellIs" dxfId="12" priority="8" operator="lessThan">
      <formula>0</formula>
    </cfRule>
  </conditionalFormatting>
  <conditionalFormatting sqref="F70:AC79">
    <cfRule type="cellIs" dxfId="11" priority="1" operator="greaterThan">
      <formula>0</formula>
    </cfRule>
    <cfRule type="cellIs" dxfId="10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BCFD-CCD5-492A-A022-0DEA8A332E67}">
  <dimension ref="A1:X320"/>
  <sheetViews>
    <sheetView topLeftCell="A183" workbookViewId="0">
      <selection activeCell="C259" sqref="C186:C259"/>
    </sheetView>
  </sheetViews>
  <sheetFormatPr defaultRowHeight="15" x14ac:dyDescent="0.25"/>
  <cols>
    <col min="1" max="1" width="50.7109375" customWidth="1"/>
    <col min="2" max="2" width="15.140625" customWidth="1"/>
    <col min="3" max="4" width="45.5703125" customWidth="1"/>
    <col min="5" max="6" width="46.8554687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488</v>
      </c>
    </row>
    <row r="3" spans="1:4" x14ac:dyDescent="0.25">
      <c r="A3" t="s">
        <v>489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490</v>
      </c>
      <c r="D9" s="3" t="s">
        <v>422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3751</v>
      </c>
      <c r="D12" s="7">
        <v>2358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17817</v>
      </c>
      <c r="D14" s="7">
        <v>20586</v>
      </c>
    </row>
    <row r="15" spans="1:4" x14ac:dyDescent="0.25">
      <c r="A15" s="8" t="s">
        <v>31</v>
      </c>
      <c r="B15" s="9">
        <v>4</v>
      </c>
      <c r="C15" s="9">
        <v>10795</v>
      </c>
      <c r="D15" s="9">
        <v>10951</v>
      </c>
    </row>
    <row r="16" spans="1:4" x14ac:dyDescent="0.25">
      <c r="A16" s="6" t="s">
        <v>18</v>
      </c>
      <c r="B16" s="7">
        <v>0</v>
      </c>
      <c r="C16" s="7">
        <v>1514</v>
      </c>
      <c r="D16" s="7">
        <v>3221</v>
      </c>
    </row>
    <row r="17" spans="1:4" x14ac:dyDescent="0.25">
      <c r="A17" s="8" t="s">
        <v>32</v>
      </c>
      <c r="B17" s="9">
        <v>0</v>
      </c>
      <c r="C17" s="9">
        <v>5508</v>
      </c>
      <c r="D17" s="9">
        <v>6414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1719</v>
      </c>
      <c r="D19" s="9">
        <v>1873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3466</v>
      </c>
      <c r="D22" s="7">
        <v>3414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26753</v>
      </c>
      <c r="D24" s="7">
        <v>28231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26753</v>
      </c>
      <c r="D26" s="5">
        <v>28231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7573</v>
      </c>
      <c r="D30" s="7">
        <v>3713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1731</v>
      </c>
      <c r="D32" s="7">
        <v>314</v>
      </c>
    </row>
    <row r="33" spans="1:4" x14ac:dyDescent="0.25">
      <c r="A33" s="8" t="s">
        <v>32</v>
      </c>
      <c r="B33" s="9">
        <v>0</v>
      </c>
      <c r="C33" s="9">
        <v>5842</v>
      </c>
      <c r="D33" s="9">
        <v>3399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182154</v>
      </c>
      <c r="D38" s="7">
        <v>178830</v>
      </c>
    </row>
    <row r="39" spans="1:4" x14ac:dyDescent="0.25">
      <c r="A39" s="8" t="s">
        <v>497</v>
      </c>
      <c r="B39" s="9">
        <v>8</v>
      </c>
      <c r="C39" s="9">
        <v>7774</v>
      </c>
      <c r="D39" s="9">
        <v>8010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210307</v>
      </c>
      <c r="D45" s="5">
        <v>203359</v>
      </c>
    </row>
    <row r="46" spans="1:4" x14ac:dyDescent="0.25">
      <c r="A46" s="4" t="s">
        <v>39</v>
      </c>
      <c r="B46" s="5">
        <v>0</v>
      </c>
      <c r="C46" s="5">
        <v>237060</v>
      </c>
      <c r="D46" s="5">
        <v>231590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8928</v>
      </c>
      <c r="D49" s="9">
        <v>15484</v>
      </c>
    </row>
    <row r="50" spans="1:4" x14ac:dyDescent="0.25">
      <c r="A50" s="6" t="s">
        <v>501</v>
      </c>
      <c r="B50" s="7">
        <v>0</v>
      </c>
      <c r="C50" s="7">
        <v>23915</v>
      </c>
      <c r="D50" s="7">
        <v>25165</v>
      </c>
    </row>
    <row r="51" spans="1:4" x14ac:dyDescent="0.25">
      <c r="A51" s="8" t="s">
        <v>44</v>
      </c>
      <c r="B51" s="9">
        <v>10</v>
      </c>
      <c r="C51" s="9">
        <v>11062</v>
      </c>
      <c r="D51" s="9">
        <v>14911</v>
      </c>
    </row>
    <row r="52" spans="1:4" x14ac:dyDescent="0.25">
      <c r="A52" s="6" t="s">
        <v>46</v>
      </c>
      <c r="B52" s="7">
        <v>0</v>
      </c>
      <c r="C52" s="7">
        <v>719</v>
      </c>
      <c r="D52" s="7">
        <v>734</v>
      </c>
    </row>
    <row r="53" spans="1:4" x14ac:dyDescent="0.25">
      <c r="A53" s="8" t="s">
        <v>45</v>
      </c>
      <c r="B53" s="9">
        <v>11</v>
      </c>
      <c r="C53" s="9">
        <v>12134</v>
      </c>
      <c r="D53" s="9">
        <v>9520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32843</v>
      </c>
      <c r="D59" s="9">
        <v>40649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32843</v>
      </c>
      <c r="D61" s="5">
        <v>40649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88823</v>
      </c>
      <c r="D63" s="9">
        <v>70801</v>
      </c>
    </row>
    <row r="64" spans="1:4" x14ac:dyDescent="0.25">
      <c r="A64" s="6" t="s">
        <v>501</v>
      </c>
      <c r="B64" s="7">
        <v>0</v>
      </c>
      <c r="C64" s="7">
        <v>8329</v>
      </c>
      <c r="D64" s="7">
        <v>8778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0</v>
      </c>
      <c r="D66" s="7">
        <v>0</v>
      </c>
    </row>
    <row r="67" spans="1:4" x14ac:dyDescent="0.25">
      <c r="A67" s="8" t="s">
        <v>45</v>
      </c>
      <c r="B67" s="9">
        <v>11</v>
      </c>
      <c r="C67" s="9">
        <v>8329</v>
      </c>
      <c r="D67" s="9">
        <v>8778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13</v>
      </c>
      <c r="C71" s="9">
        <v>12771</v>
      </c>
      <c r="D71" s="9">
        <v>12524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109923</v>
      </c>
      <c r="D74" s="5">
        <v>92103</v>
      </c>
    </row>
    <row r="75" spans="1:4" x14ac:dyDescent="0.25">
      <c r="A75" s="4" t="s">
        <v>60</v>
      </c>
      <c r="B75" s="5">
        <v>0</v>
      </c>
      <c r="C75" s="5">
        <v>142766</v>
      </c>
      <c r="D75" s="5">
        <v>132752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14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1737</v>
      </c>
      <c r="D81" s="9">
        <v>1737</v>
      </c>
    </row>
    <row r="82" spans="1:6" x14ac:dyDescent="0.25">
      <c r="A82" s="6" t="s">
        <v>67</v>
      </c>
      <c r="B82" s="7">
        <v>0</v>
      </c>
      <c r="C82" s="7">
        <v>33212</v>
      </c>
      <c r="D82" s="7">
        <v>38348</v>
      </c>
    </row>
    <row r="83" spans="1:6" x14ac:dyDescent="0.25">
      <c r="A83" s="8" t="s">
        <v>68</v>
      </c>
      <c r="B83" s="9">
        <v>0</v>
      </c>
      <c r="C83" s="9" t="s">
        <v>377</v>
      </c>
      <c r="D83" s="9" t="s">
        <v>507</v>
      </c>
    </row>
    <row r="84" spans="1:6" x14ac:dyDescent="0.25">
      <c r="A84" s="4" t="s">
        <v>71</v>
      </c>
      <c r="B84" s="5">
        <v>0</v>
      </c>
      <c r="C84" s="5">
        <v>94294</v>
      </c>
      <c r="D84" s="5">
        <v>98838</v>
      </c>
    </row>
    <row r="85" spans="1:6" x14ac:dyDescent="0.25">
      <c r="A85" s="4" t="s">
        <v>72</v>
      </c>
      <c r="B85" s="5">
        <v>0</v>
      </c>
      <c r="C85" s="5">
        <v>237060</v>
      </c>
      <c r="D85" s="5">
        <v>231590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508</v>
      </c>
      <c r="D89" s="3" t="s">
        <v>74</v>
      </c>
      <c r="E89" s="3" t="s">
        <v>509</v>
      </c>
      <c r="F89" s="3" t="s">
        <v>76</v>
      </c>
    </row>
    <row r="90" spans="1:6" x14ac:dyDescent="0.25">
      <c r="A90" s="4" t="s">
        <v>510</v>
      </c>
      <c r="B90" s="5">
        <v>0</v>
      </c>
      <c r="C90" s="5">
        <v>30883</v>
      </c>
      <c r="D90" s="5">
        <v>28755</v>
      </c>
      <c r="E90" s="5">
        <v>30883</v>
      </c>
      <c r="F90" s="5">
        <v>28755</v>
      </c>
    </row>
    <row r="91" spans="1:6" x14ac:dyDescent="0.25">
      <c r="A91" s="8" t="s">
        <v>79</v>
      </c>
      <c r="B91" s="9">
        <v>16</v>
      </c>
      <c r="C91" s="9" t="s">
        <v>511</v>
      </c>
      <c r="D91" s="9" t="s">
        <v>80</v>
      </c>
      <c r="E91" s="9" t="s">
        <v>511</v>
      </c>
      <c r="F91" s="9" t="s">
        <v>80</v>
      </c>
    </row>
    <row r="92" spans="1:6" x14ac:dyDescent="0.25">
      <c r="A92" s="4" t="s">
        <v>82</v>
      </c>
      <c r="B92" s="5">
        <v>0</v>
      </c>
      <c r="C92" s="5">
        <v>8512</v>
      </c>
      <c r="D92" s="5">
        <v>8947</v>
      </c>
      <c r="E92" s="5">
        <v>8512</v>
      </c>
      <c r="F92" s="5">
        <v>8947</v>
      </c>
    </row>
    <row r="93" spans="1:6" x14ac:dyDescent="0.25">
      <c r="A93" s="8" t="s">
        <v>83</v>
      </c>
      <c r="B93" s="9">
        <v>18</v>
      </c>
      <c r="C93" s="9" t="s">
        <v>512</v>
      </c>
      <c r="D93" s="9" t="s">
        <v>84</v>
      </c>
      <c r="E93" s="9" t="s">
        <v>512</v>
      </c>
      <c r="F93" s="9" t="s">
        <v>84</v>
      </c>
    </row>
    <row r="94" spans="1:6" x14ac:dyDescent="0.25">
      <c r="A94" s="6" t="s">
        <v>86</v>
      </c>
      <c r="B94" s="7">
        <v>17</v>
      </c>
      <c r="C94" s="7" t="s">
        <v>513</v>
      </c>
      <c r="D94" s="7" t="s">
        <v>87</v>
      </c>
      <c r="E94" s="7" t="s">
        <v>513</v>
      </c>
      <c r="F94" s="7" t="s">
        <v>87</v>
      </c>
    </row>
    <row r="95" spans="1:6" x14ac:dyDescent="0.25">
      <c r="A95" s="8" t="s">
        <v>90</v>
      </c>
      <c r="B95" s="9">
        <v>0</v>
      </c>
      <c r="C95" s="9">
        <v>222</v>
      </c>
      <c r="D95" s="9">
        <v>0</v>
      </c>
      <c r="E95" s="9">
        <v>222</v>
      </c>
      <c r="F95" s="9">
        <v>0</v>
      </c>
    </row>
    <row r="96" spans="1:6" x14ac:dyDescent="0.25">
      <c r="A96" s="6" t="s">
        <v>91</v>
      </c>
      <c r="B96" s="7">
        <v>0</v>
      </c>
      <c r="C96" s="7" t="s">
        <v>514</v>
      </c>
      <c r="D96" s="7" t="s">
        <v>92</v>
      </c>
      <c r="E96" s="7" t="s">
        <v>514</v>
      </c>
      <c r="F96" s="7" t="s">
        <v>92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517</v>
      </c>
      <c r="D98" s="5" t="s">
        <v>96</v>
      </c>
      <c r="E98" s="5" t="s">
        <v>517</v>
      </c>
      <c r="F98" s="5" t="s">
        <v>96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93</v>
      </c>
      <c r="D100" s="7">
        <v>117</v>
      </c>
      <c r="E100" s="7">
        <v>93</v>
      </c>
      <c r="F100" s="7">
        <v>117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520</v>
      </c>
      <c r="D102" s="7" t="s">
        <v>99</v>
      </c>
      <c r="E102" s="7" t="s">
        <v>520</v>
      </c>
      <c r="F102" s="7" t="s">
        <v>99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>
        <v>2583</v>
      </c>
      <c r="D105" s="9">
        <v>1702</v>
      </c>
      <c r="E105" s="9">
        <v>2583</v>
      </c>
      <c r="F105" s="9">
        <v>1702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529</v>
      </c>
      <c r="D110" s="5" t="s">
        <v>107</v>
      </c>
      <c r="E110" s="5" t="s">
        <v>529</v>
      </c>
      <c r="F110" s="5" t="s">
        <v>107</v>
      </c>
    </row>
    <row r="111" spans="1:6" x14ac:dyDescent="0.25">
      <c r="A111" s="8" t="s">
        <v>530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</row>
    <row r="112" spans="1:6" x14ac:dyDescent="0.25">
      <c r="A112" s="6" t="s">
        <v>531</v>
      </c>
      <c r="B112" s="7">
        <v>0</v>
      </c>
      <c r="C112" s="7" t="s">
        <v>529</v>
      </c>
      <c r="D112" s="7" t="s">
        <v>107</v>
      </c>
      <c r="E112" s="7" t="s">
        <v>529</v>
      </c>
      <c r="F112" s="7" t="s">
        <v>107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529</v>
      </c>
      <c r="D114" s="5" t="s">
        <v>107</v>
      </c>
      <c r="E114" s="5" t="s">
        <v>529</v>
      </c>
      <c r="F114" s="5" t="s">
        <v>107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535</v>
      </c>
      <c r="D117" s="9" t="s">
        <v>536</v>
      </c>
      <c r="E117" s="9" t="s">
        <v>535</v>
      </c>
      <c r="F117" s="9" t="s">
        <v>536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535</v>
      </c>
      <c r="D119" s="9" t="s">
        <v>536</v>
      </c>
      <c r="E119" s="9" t="s">
        <v>535</v>
      </c>
      <c r="F119" s="9" t="s">
        <v>536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164</v>
      </c>
      <c r="B134" s="7">
        <v>61450</v>
      </c>
      <c r="C134" s="7">
        <v>0</v>
      </c>
      <c r="D134" s="7">
        <v>0</v>
      </c>
      <c r="E134" s="7">
        <v>0</v>
      </c>
      <c r="F134" s="7">
        <v>1665</v>
      </c>
      <c r="G134" s="7">
        <v>33319</v>
      </c>
      <c r="H134" s="7">
        <v>0</v>
      </c>
      <c r="I134" s="7">
        <v>0</v>
      </c>
      <c r="J134" s="7">
        <v>0</v>
      </c>
      <c r="K134" s="7" t="s">
        <v>70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70</v>
      </c>
      <c r="X134" s="7">
        <v>92067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1665</v>
      </c>
      <c r="G137" s="9">
        <v>33319</v>
      </c>
      <c r="H137" s="9">
        <v>0</v>
      </c>
      <c r="I137" s="9">
        <v>0</v>
      </c>
      <c r="J137" s="9">
        <v>0</v>
      </c>
      <c r="K137" s="9" t="s">
        <v>70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70</v>
      </c>
      <c r="X137" s="9">
        <v>92067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107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107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597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597</v>
      </c>
      <c r="X141" s="9">
        <v>597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107</v>
      </c>
      <c r="H142" s="7">
        <v>0</v>
      </c>
      <c r="I142" s="7">
        <v>0</v>
      </c>
      <c r="J142" s="7">
        <v>0</v>
      </c>
      <c r="K142" s="7">
        <v>597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597</v>
      </c>
      <c r="X142" s="7" t="s">
        <v>165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107</v>
      </c>
      <c r="H156" s="7">
        <v>0</v>
      </c>
      <c r="I156" s="7">
        <v>0</v>
      </c>
      <c r="J156" s="7">
        <v>0</v>
      </c>
      <c r="K156" s="7">
        <v>597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597</v>
      </c>
      <c r="X156" s="7" t="s">
        <v>165</v>
      </c>
    </row>
    <row r="157" spans="1:24" x14ac:dyDescent="0.25">
      <c r="A157" s="8" t="s">
        <v>166</v>
      </c>
      <c r="B157" s="9">
        <v>61450</v>
      </c>
      <c r="C157" s="9">
        <v>0</v>
      </c>
      <c r="D157" s="9">
        <v>0</v>
      </c>
      <c r="E157" s="9">
        <v>0</v>
      </c>
      <c r="F157" s="9">
        <v>1665</v>
      </c>
      <c r="G157" s="9">
        <v>32545</v>
      </c>
      <c r="H157" s="9">
        <v>0</v>
      </c>
      <c r="I157" s="9">
        <v>0</v>
      </c>
      <c r="J157" s="9">
        <v>0</v>
      </c>
      <c r="K157" s="9" t="s">
        <v>69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69</v>
      </c>
      <c r="X157" s="9">
        <v>91890</v>
      </c>
    </row>
    <row r="158" spans="1:24" x14ac:dyDescent="0.25">
      <c r="A158" s="6" t="s">
        <v>571</v>
      </c>
      <c r="B158" s="7">
        <v>61450</v>
      </c>
      <c r="C158" s="7">
        <v>0</v>
      </c>
      <c r="D158" s="7">
        <v>0</v>
      </c>
      <c r="E158" s="7">
        <v>0</v>
      </c>
      <c r="F158" s="7">
        <v>1737</v>
      </c>
      <c r="G158" s="7">
        <v>38348</v>
      </c>
      <c r="H158" s="7">
        <v>0</v>
      </c>
      <c r="I158" s="7">
        <v>0</v>
      </c>
      <c r="J158" s="7">
        <v>0</v>
      </c>
      <c r="K158" s="7" t="s">
        <v>507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507</v>
      </c>
      <c r="X158" s="7">
        <v>98838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1737</v>
      </c>
      <c r="G161" s="9">
        <v>38348</v>
      </c>
      <c r="H161" s="9">
        <v>0</v>
      </c>
      <c r="I161" s="9">
        <v>0</v>
      </c>
      <c r="J161" s="9">
        <v>0</v>
      </c>
      <c r="K161" s="9" t="s">
        <v>507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507</v>
      </c>
      <c r="X161" s="9">
        <v>98838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529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529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592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592</v>
      </c>
      <c r="X165" s="9">
        <v>592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529</v>
      </c>
      <c r="H166" s="7">
        <v>0</v>
      </c>
      <c r="I166" s="7">
        <v>0</v>
      </c>
      <c r="J166" s="7">
        <v>0</v>
      </c>
      <c r="K166" s="7">
        <v>592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592</v>
      </c>
      <c r="X166" s="7" t="s">
        <v>572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573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573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 t="s">
        <v>574</v>
      </c>
      <c r="H180" s="7">
        <v>0</v>
      </c>
      <c r="I180" s="7">
        <v>0</v>
      </c>
      <c r="J180" s="7">
        <v>0</v>
      </c>
      <c r="K180" s="7">
        <v>592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592</v>
      </c>
      <c r="X180" s="7" t="s">
        <v>575</v>
      </c>
    </row>
    <row r="181" spans="1:24" x14ac:dyDescent="0.25">
      <c r="A181" s="8" t="s">
        <v>576</v>
      </c>
      <c r="B181" s="9">
        <v>61450</v>
      </c>
      <c r="C181" s="9">
        <v>0</v>
      </c>
      <c r="D181" s="9">
        <v>0</v>
      </c>
      <c r="E181" s="9">
        <v>0</v>
      </c>
      <c r="F181" s="9">
        <v>1737</v>
      </c>
      <c r="G181" s="9">
        <v>33212</v>
      </c>
      <c r="H181" s="9">
        <v>0</v>
      </c>
      <c r="I181" s="9">
        <v>0</v>
      </c>
      <c r="J181" s="9">
        <v>0</v>
      </c>
      <c r="K181" s="9" t="s">
        <v>377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377</v>
      </c>
      <c r="X181" s="9">
        <v>94294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577</v>
      </c>
      <c r="D185" s="3" t="s">
        <v>168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31086</v>
      </c>
      <c r="D188" s="7">
        <v>26459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585</v>
      </c>
      <c r="D194" s="7" t="s">
        <v>179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587</v>
      </c>
      <c r="D196" s="7" t="s">
        <v>182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590</v>
      </c>
      <c r="D198" s="7" t="s">
        <v>186</v>
      </c>
    </row>
    <row r="199" spans="1:4" x14ac:dyDescent="0.25">
      <c r="A199" s="8" t="s">
        <v>591</v>
      </c>
      <c r="B199" s="9">
        <v>0</v>
      </c>
      <c r="C199" s="9" t="s">
        <v>592</v>
      </c>
      <c r="D199" s="9">
        <v>940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 t="s">
        <v>592</v>
      </c>
      <c r="D206" s="5">
        <v>940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615</v>
      </c>
      <c r="D229" s="9" t="s">
        <v>222</v>
      </c>
    </row>
    <row r="230" spans="1:4" x14ac:dyDescent="0.25">
      <c r="A230" s="6" t="s">
        <v>224</v>
      </c>
      <c r="B230" s="7">
        <v>0</v>
      </c>
      <c r="C230" s="7">
        <v>0</v>
      </c>
      <c r="D230" s="7" t="s">
        <v>225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615</v>
      </c>
      <c r="D234" s="5" t="s">
        <v>230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24499</v>
      </c>
      <c r="D237" s="9">
        <v>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626</v>
      </c>
      <c r="D244" s="7" t="s">
        <v>241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628</v>
      </c>
      <c r="D250" s="7" t="s">
        <v>191</v>
      </c>
    </row>
    <row r="251" spans="1:4" x14ac:dyDescent="0.25">
      <c r="A251" s="8" t="s">
        <v>629</v>
      </c>
      <c r="B251" s="9">
        <v>0</v>
      </c>
      <c r="C251" s="9">
        <v>0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9026</v>
      </c>
      <c r="D254" s="5" t="s">
        <v>632</v>
      </c>
    </row>
    <row r="255" spans="1:4" x14ac:dyDescent="0.25">
      <c r="A255" s="8" t="s">
        <v>250</v>
      </c>
      <c r="B255" s="9">
        <v>0</v>
      </c>
      <c r="C255" s="9">
        <v>1393</v>
      </c>
      <c r="D255" s="9" t="s">
        <v>251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>
        <v>1393</v>
      </c>
      <c r="D257" s="9" t="s">
        <v>251</v>
      </c>
    </row>
    <row r="258" spans="1:6" x14ac:dyDescent="0.25">
      <c r="A258" s="6" t="s">
        <v>255</v>
      </c>
      <c r="B258" s="7">
        <v>3</v>
      </c>
      <c r="C258" s="7">
        <v>2358</v>
      </c>
      <c r="D258" s="7">
        <v>19673</v>
      </c>
    </row>
    <row r="259" spans="1:6" x14ac:dyDescent="0.25">
      <c r="A259" s="4" t="s">
        <v>256</v>
      </c>
      <c r="B259" s="5">
        <v>3</v>
      </c>
      <c r="C259" s="5">
        <v>3751</v>
      </c>
      <c r="D259" s="5">
        <v>5267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508</v>
      </c>
      <c r="D263" s="3" t="s">
        <v>74</v>
      </c>
      <c r="E263" s="3" t="s">
        <v>509</v>
      </c>
      <c r="F263" s="3" t="s">
        <v>76</v>
      </c>
    </row>
    <row r="264" spans="1:6" x14ac:dyDescent="0.25">
      <c r="A264" s="6" t="s">
        <v>258</v>
      </c>
      <c r="B264" s="7">
        <v>0</v>
      </c>
      <c r="C264" s="7" t="s">
        <v>529</v>
      </c>
      <c r="D264" s="7" t="s">
        <v>107</v>
      </c>
      <c r="E264" s="7" t="s">
        <v>529</v>
      </c>
      <c r="F264" s="7" t="s">
        <v>107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592</v>
      </c>
      <c r="D269" s="9">
        <v>597</v>
      </c>
      <c r="E269" s="9">
        <v>592</v>
      </c>
      <c r="F269" s="9">
        <v>597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592</v>
      </c>
      <c r="D272" s="7">
        <v>597</v>
      </c>
      <c r="E272" s="7">
        <v>592</v>
      </c>
      <c r="F272" s="7">
        <v>597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592</v>
      </c>
      <c r="D303" s="5">
        <v>597</v>
      </c>
      <c r="E303" s="5">
        <v>592</v>
      </c>
      <c r="F303" s="5">
        <v>597</v>
      </c>
    </row>
    <row r="304" spans="1:6" x14ac:dyDescent="0.25">
      <c r="A304" s="4" t="s">
        <v>671</v>
      </c>
      <c r="B304" s="5">
        <v>0</v>
      </c>
      <c r="C304" s="5" t="s">
        <v>572</v>
      </c>
      <c r="D304" s="5" t="s">
        <v>165</v>
      </c>
      <c r="E304" s="5" t="s">
        <v>572</v>
      </c>
      <c r="F304" s="5" t="s">
        <v>165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42857.623680555596</v>
      </c>
    </row>
    <row r="311" spans="1:2" x14ac:dyDescent="0.25">
      <c r="A311" s="8" t="s">
        <v>277</v>
      </c>
      <c r="B311" s="10">
        <v>42857.621851851902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42857.622048611098</v>
      </c>
    </row>
    <row r="314" spans="1:2" x14ac:dyDescent="0.25">
      <c r="A314" s="6" t="s">
        <v>276</v>
      </c>
      <c r="B314" s="11">
        <v>42857.624525462998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42857.6249074074</v>
      </c>
    </row>
    <row r="317" spans="1:2" x14ac:dyDescent="0.25">
      <c r="A317" s="8" t="s">
        <v>277</v>
      </c>
      <c r="B317" s="10">
        <v>42857.622326388897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42857.622499999998</v>
      </c>
    </row>
    <row r="320" spans="1:2" x14ac:dyDescent="0.25">
      <c r="A320" s="6" t="s">
        <v>276</v>
      </c>
      <c r="B320" s="11">
        <v>42857.6250462963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B532-AE4D-4310-9D74-0128E7379AEC}">
  <dimension ref="A1:X320"/>
  <sheetViews>
    <sheetView topLeftCell="A239" workbookViewId="0">
      <selection activeCell="C259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3.7109375" customWidth="1"/>
    <col min="5" max="6" width="46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672</v>
      </c>
    </row>
    <row r="3" spans="1:4" x14ac:dyDescent="0.25">
      <c r="A3" t="s">
        <v>489</v>
      </c>
    </row>
    <row r="4" spans="1:4" x14ac:dyDescent="0.25">
      <c r="A4" t="s">
        <v>282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673</v>
      </c>
      <c r="D9" s="3" t="s">
        <v>422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4938</v>
      </c>
      <c r="D12" s="7">
        <v>2358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21108</v>
      </c>
      <c r="D14" s="7">
        <v>20586</v>
      </c>
    </row>
    <row r="15" spans="1:4" x14ac:dyDescent="0.25">
      <c r="A15" s="8" t="s">
        <v>31</v>
      </c>
      <c r="B15" s="9">
        <v>4</v>
      </c>
      <c r="C15" s="9">
        <v>13615</v>
      </c>
      <c r="D15" s="9">
        <v>10951</v>
      </c>
    </row>
    <row r="16" spans="1:4" x14ac:dyDescent="0.25">
      <c r="A16" s="6" t="s">
        <v>18</v>
      </c>
      <c r="B16" s="7">
        <v>0</v>
      </c>
      <c r="C16" s="7">
        <v>1041</v>
      </c>
      <c r="D16" s="7">
        <v>3221</v>
      </c>
    </row>
    <row r="17" spans="1:4" x14ac:dyDescent="0.25">
      <c r="A17" s="8" t="s">
        <v>32</v>
      </c>
      <c r="B17" s="9">
        <v>0</v>
      </c>
      <c r="C17" s="9">
        <v>6452</v>
      </c>
      <c r="D17" s="9">
        <v>6414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1777</v>
      </c>
      <c r="D19" s="9">
        <v>1873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6356</v>
      </c>
      <c r="D22" s="7">
        <v>3414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34179</v>
      </c>
      <c r="D24" s="7">
        <v>28231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34179</v>
      </c>
      <c r="D26" s="5">
        <v>28231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8497</v>
      </c>
      <c r="D30" s="7">
        <v>3713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3645</v>
      </c>
      <c r="D32" s="7">
        <v>314</v>
      </c>
    </row>
    <row r="33" spans="1:4" x14ac:dyDescent="0.25">
      <c r="A33" s="8" t="s">
        <v>32</v>
      </c>
      <c r="B33" s="9">
        <v>0</v>
      </c>
      <c r="C33" s="9">
        <v>4852</v>
      </c>
      <c r="D33" s="9">
        <v>3399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183910</v>
      </c>
      <c r="D38" s="7">
        <v>178830</v>
      </c>
    </row>
    <row r="39" spans="1:4" x14ac:dyDescent="0.25">
      <c r="A39" s="8" t="s">
        <v>497</v>
      </c>
      <c r="B39" s="9">
        <v>8</v>
      </c>
      <c r="C39" s="9">
        <v>7611</v>
      </c>
      <c r="D39" s="9">
        <v>8010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212824</v>
      </c>
      <c r="D45" s="5">
        <v>203359</v>
      </c>
    </row>
    <row r="46" spans="1:4" x14ac:dyDescent="0.25">
      <c r="A46" s="4" t="s">
        <v>39</v>
      </c>
      <c r="B46" s="5">
        <v>0</v>
      </c>
      <c r="C46" s="5">
        <v>247003</v>
      </c>
      <c r="D46" s="5">
        <v>231590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14510</v>
      </c>
      <c r="D49" s="9">
        <v>15484</v>
      </c>
    </row>
    <row r="50" spans="1:4" x14ac:dyDescent="0.25">
      <c r="A50" s="6" t="s">
        <v>501</v>
      </c>
      <c r="B50" s="7">
        <v>0</v>
      </c>
      <c r="C50" s="7">
        <v>26928</v>
      </c>
      <c r="D50" s="7">
        <v>25165</v>
      </c>
    </row>
    <row r="51" spans="1:4" x14ac:dyDescent="0.25">
      <c r="A51" s="8" t="s">
        <v>44</v>
      </c>
      <c r="B51" s="9">
        <v>10</v>
      </c>
      <c r="C51" s="9">
        <v>13720</v>
      </c>
      <c r="D51" s="9">
        <v>14911</v>
      </c>
    </row>
    <row r="52" spans="1:4" x14ac:dyDescent="0.25">
      <c r="A52" s="6" t="s">
        <v>46</v>
      </c>
      <c r="B52" s="7">
        <v>0</v>
      </c>
      <c r="C52" s="7">
        <v>749</v>
      </c>
      <c r="D52" s="7">
        <v>734</v>
      </c>
    </row>
    <row r="53" spans="1:4" x14ac:dyDescent="0.25">
      <c r="A53" s="8" t="s">
        <v>45</v>
      </c>
      <c r="B53" s="9">
        <v>11</v>
      </c>
      <c r="C53" s="9">
        <v>12459</v>
      </c>
      <c r="D53" s="9">
        <v>9520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41438</v>
      </c>
      <c r="D59" s="9">
        <v>40649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41438</v>
      </c>
      <c r="D61" s="5">
        <v>40649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87132</v>
      </c>
      <c r="D63" s="9">
        <v>70801</v>
      </c>
    </row>
    <row r="64" spans="1:4" x14ac:dyDescent="0.25">
      <c r="A64" s="6" t="s">
        <v>501</v>
      </c>
      <c r="B64" s="7">
        <v>0</v>
      </c>
      <c r="C64" s="7">
        <v>7792</v>
      </c>
      <c r="D64" s="7">
        <v>8778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0</v>
      </c>
      <c r="D66" s="7">
        <v>0</v>
      </c>
    </row>
    <row r="67" spans="1:4" x14ac:dyDescent="0.25">
      <c r="A67" s="8" t="s">
        <v>45</v>
      </c>
      <c r="B67" s="9">
        <v>12</v>
      </c>
      <c r="C67" s="9">
        <v>7792</v>
      </c>
      <c r="D67" s="9">
        <v>8778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13</v>
      </c>
      <c r="C71" s="9">
        <v>12766</v>
      </c>
      <c r="D71" s="9">
        <v>12524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107690</v>
      </c>
      <c r="D74" s="5">
        <v>92103</v>
      </c>
    </row>
    <row r="75" spans="1:4" x14ac:dyDescent="0.25">
      <c r="A75" s="4" t="s">
        <v>60</v>
      </c>
      <c r="B75" s="5">
        <v>0</v>
      </c>
      <c r="C75" s="5">
        <v>149128</v>
      </c>
      <c r="D75" s="5">
        <v>132752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14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1737</v>
      </c>
      <c r="D81" s="9">
        <v>1737</v>
      </c>
    </row>
    <row r="82" spans="1:6" x14ac:dyDescent="0.25">
      <c r="A82" s="6" t="s">
        <v>67</v>
      </c>
      <c r="B82" s="7">
        <v>0</v>
      </c>
      <c r="C82" s="7">
        <v>36585</v>
      </c>
      <c r="D82" s="7">
        <v>38348</v>
      </c>
    </row>
    <row r="83" spans="1:6" x14ac:dyDescent="0.25">
      <c r="A83" s="8" t="s">
        <v>68</v>
      </c>
      <c r="B83" s="9">
        <v>0</v>
      </c>
      <c r="C83" s="9" t="s">
        <v>674</v>
      </c>
      <c r="D83" s="9" t="s">
        <v>507</v>
      </c>
    </row>
    <row r="84" spans="1:6" x14ac:dyDescent="0.25">
      <c r="A84" s="4" t="s">
        <v>71</v>
      </c>
      <c r="B84" s="5">
        <v>0</v>
      </c>
      <c r="C84" s="5">
        <v>97875</v>
      </c>
      <c r="D84" s="5">
        <v>98838</v>
      </c>
    </row>
    <row r="85" spans="1:6" x14ac:dyDescent="0.25">
      <c r="A85" s="4" t="s">
        <v>72</v>
      </c>
      <c r="B85" s="5">
        <v>0</v>
      </c>
      <c r="C85" s="5">
        <v>247003</v>
      </c>
      <c r="D85" s="5">
        <v>231590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675</v>
      </c>
      <c r="D89" s="3" t="s">
        <v>285</v>
      </c>
      <c r="E89" s="3" t="s">
        <v>676</v>
      </c>
      <c r="F89" s="3" t="s">
        <v>287</v>
      </c>
    </row>
    <row r="90" spans="1:6" x14ac:dyDescent="0.25">
      <c r="A90" s="4" t="s">
        <v>510</v>
      </c>
      <c r="B90" s="5">
        <v>0</v>
      </c>
      <c r="C90" s="5">
        <v>40372</v>
      </c>
      <c r="D90" s="5">
        <v>37458</v>
      </c>
      <c r="E90" s="5">
        <v>71256</v>
      </c>
      <c r="F90" s="5">
        <v>66213</v>
      </c>
    </row>
    <row r="91" spans="1:6" x14ac:dyDescent="0.25">
      <c r="A91" s="8" t="s">
        <v>79</v>
      </c>
      <c r="B91" s="9">
        <v>16</v>
      </c>
      <c r="C91" s="9" t="s">
        <v>677</v>
      </c>
      <c r="D91" s="9" t="s">
        <v>289</v>
      </c>
      <c r="E91" s="9" t="s">
        <v>678</v>
      </c>
      <c r="F91" s="9" t="s">
        <v>291</v>
      </c>
    </row>
    <row r="92" spans="1:6" x14ac:dyDescent="0.25">
      <c r="A92" s="4" t="s">
        <v>82</v>
      </c>
      <c r="B92" s="5">
        <v>0</v>
      </c>
      <c r="C92" s="5">
        <v>16479</v>
      </c>
      <c r="D92" s="5">
        <v>14226</v>
      </c>
      <c r="E92" s="5">
        <v>24992</v>
      </c>
      <c r="F92" s="5">
        <v>23173</v>
      </c>
    </row>
    <row r="93" spans="1:6" x14ac:dyDescent="0.25">
      <c r="A93" s="8" t="s">
        <v>83</v>
      </c>
      <c r="B93" s="9">
        <v>18</v>
      </c>
      <c r="C93" s="9" t="s">
        <v>433</v>
      </c>
      <c r="D93" s="9" t="s">
        <v>293</v>
      </c>
      <c r="E93" s="9" t="s">
        <v>679</v>
      </c>
      <c r="F93" s="9" t="s">
        <v>295</v>
      </c>
    </row>
    <row r="94" spans="1:6" x14ac:dyDescent="0.25">
      <c r="A94" s="6" t="s">
        <v>86</v>
      </c>
      <c r="B94" s="7">
        <v>17</v>
      </c>
      <c r="C94" s="7" t="s">
        <v>680</v>
      </c>
      <c r="D94" s="7" t="s">
        <v>297</v>
      </c>
      <c r="E94" s="7" t="s">
        <v>681</v>
      </c>
      <c r="F94" s="7" t="s">
        <v>299</v>
      </c>
    </row>
    <row r="95" spans="1:6" x14ac:dyDescent="0.25">
      <c r="A95" s="8" t="s">
        <v>90</v>
      </c>
      <c r="B95" s="9">
        <v>0</v>
      </c>
      <c r="C95" s="9">
        <v>430</v>
      </c>
      <c r="D95" s="9">
        <v>0</v>
      </c>
      <c r="E95" s="9">
        <v>651</v>
      </c>
      <c r="F95" s="9">
        <v>0</v>
      </c>
    </row>
    <row r="96" spans="1:6" x14ac:dyDescent="0.25">
      <c r="A96" s="6" t="s">
        <v>91</v>
      </c>
      <c r="B96" s="7">
        <v>0</v>
      </c>
      <c r="C96" s="7" t="s">
        <v>682</v>
      </c>
      <c r="D96" s="7" t="s">
        <v>301</v>
      </c>
      <c r="E96" s="7" t="s">
        <v>683</v>
      </c>
      <c r="F96" s="7" t="s">
        <v>303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5991</v>
      </c>
      <c r="D98" s="5">
        <v>2894</v>
      </c>
      <c r="E98" s="5">
        <v>3578</v>
      </c>
      <c r="F98" s="5">
        <v>2203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129</v>
      </c>
      <c r="D100" s="7">
        <v>112</v>
      </c>
      <c r="E100" s="7">
        <v>222</v>
      </c>
      <c r="F100" s="7">
        <v>229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684</v>
      </c>
      <c r="D102" s="7" t="s">
        <v>305</v>
      </c>
      <c r="E102" s="7" t="s">
        <v>685</v>
      </c>
      <c r="F102" s="7" t="s">
        <v>69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 t="s">
        <v>686</v>
      </c>
      <c r="D105" s="9">
        <v>987</v>
      </c>
      <c r="E105" s="9">
        <v>2117</v>
      </c>
      <c r="F105" s="9">
        <v>2689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3432</v>
      </c>
      <c r="D110" s="5">
        <v>2125</v>
      </c>
      <c r="E110" s="5">
        <v>1541</v>
      </c>
      <c r="F110" s="5">
        <v>1351</v>
      </c>
    </row>
    <row r="111" spans="1:6" x14ac:dyDescent="0.25">
      <c r="A111" s="8" t="s">
        <v>530</v>
      </c>
      <c r="B111" s="9">
        <v>0</v>
      </c>
      <c r="C111" s="9" t="s">
        <v>687</v>
      </c>
      <c r="D111" s="9">
        <v>0</v>
      </c>
      <c r="E111" s="9" t="s">
        <v>687</v>
      </c>
      <c r="F111" s="9">
        <v>0</v>
      </c>
    </row>
    <row r="112" spans="1:6" x14ac:dyDescent="0.25">
      <c r="A112" s="6" t="s">
        <v>531</v>
      </c>
      <c r="B112" s="7">
        <v>0</v>
      </c>
      <c r="C112" s="7">
        <v>3372</v>
      </c>
      <c r="D112" s="7">
        <v>2125</v>
      </c>
      <c r="E112" s="7">
        <v>1481</v>
      </c>
      <c r="F112" s="7">
        <v>1351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3372</v>
      </c>
      <c r="D114" s="5">
        <v>2125</v>
      </c>
      <c r="E114" s="5">
        <v>1481</v>
      </c>
      <c r="F114" s="5">
        <v>1351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5.5E-2</v>
      </c>
      <c r="D117" s="9">
        <v>3.5000000000000003E-2</v>
      </c>
      <c r="E117" s="9">
        <v>2.4E-2</v>
      </c>
      <c r="F117" s="9">
        <v>2.1999999999999999E-2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5.5E-2</v>
      </c>
      <c r="D119" s="9">
        <v>3.5000000000000003E-2</v>
      </c>
      <c r="E119" s="9">
        <v>2.4E-2</v>
      </c>
      <c r="F119" s="9">
        <v>2.1999999999999999E-2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164</v>
      </c>
      <c r="B134" s="7">
        <v>61450</v>
      </c>
      <c r="C134" s="7">
        <v>0</v>
      </c>
      <c r="D134" s="7">
        <v>0</v>
      </c>
      <c r="E134" s="7">
        <v>0</v>
      </c>
      <c r="F134" s="7">
        <v>1665</v>
      </c>
      <c r="G134" s="7">
        <v>33319</v>
      </c>
      <c r="H134" s="7">
        <v>0</v>
      </c>
      <c r="I134" s="7">
        <v>0</v>
      </c>
      <c r="J134" s="7">
        <v>0</v>
      </c>
      <c r="K134" s="7" t="s">
        <v>70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70</v>
      </c>
      <c r="X134" s="7">
        <v>92067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1665</v>
      </c>
      <c r="G137" s="9">
        <v>33319</v>
      </c>
      <c r="H137" s="9">
        <v>0</v>
      </c>
      <c r="I137" s="9">
        <v>0</v>
      </c>
      <c r="J137" s="9">
        <v>0</v>
      </c>
      <c r="K137" s="9" t="s">
        <v>70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70</v>
      </c>
      <c r="X137" s="9">
        <v>92067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1351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1351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1150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1150</v>
      </c>
      <c r="X141" s="9">
        <v>1150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1351</v>
      </c>
      <c r="H142" s="7">
        <v>0</v>
      </c>
      <c r="I142" s="7">
        <v>0</v>
      </c>
      <c r="J142" s="7">
        <v>0</v>
      </c>
      <c r="K142" s="7">
        <v>1150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1150</v>
      </c>
      <c r="X142" s="7">
        <v>2501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322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322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72</v>
      </c>
      <c r="G155" s="9" t="s">
        <v>323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72</v>
      </c>
      <c r="G156" s="7" t="s">
        <v>324</v>
      </c>
      <c r="H156" s="7">
        <v>0</v>
      </c>
      <c r="I156" s="7">
        <v>0</v>
      </c>
      <c r="J156" s="7">
        <v>0</v>
      </c>
      <c r="K156" s="7">
        <v>1150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1150</v>
      </c>
      <c r="X156" s="7">
        <v>831</v>
      </c>
    </row>
    <row r="157" spans="1:24" x14ac:dyDescent="0.25">
      <c r="A157" s="8" t="s">
        <v>325</v>
      </c>
      <c r="B157" s="9">
        <v>61450</v>
      </c>
      <c r="C157" s="9">
        <v>0</v>
      </c>
      <c r="D157" s="9">
        <v>0</v>
      </c>
      <c r="E157" s="9">
        <v>0</v>
      </c>
      <c r="F157" s="9">
        <v>1737</v>
      </c>
      <c r="G157" s="9">
        <v>32928</v>
      </c>
      <c r="H157" s="9">
        <v>0</v>
      </c>
      <c r="I157" s="9">
        <v>0</v>
      </c>
      <c r="J157" s="9">
        <v>0</v>
      </c>
      <c r="K157" s="9" t="s">
        <v>284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284</v>
      </c>
      <c r="X157" s="9">
        <v>92898</v>
      </c>
    </row>
    <row r="158" spans="1:24" x14ac:dyDescent="0.25">
      <c r="A158" s="6" t="s">
        <v>571</v>
      </c>
      <c r="B158" s="7">
        <v>61450</v>
      </c>
      <c r="C158" s="7">
        <v>0</v>
      </c>
      <c r="D158" s="7">
        <v>0</v>
      </c>
      <c r="E158" s="7">
        <v>0</v>
      </c>
      <c r="F158" s="7">
        <v>1737</v>
      </c>
      <c r="G158" s="7">
        <v>38348</v>
      </c>
      <c r="H158" s="7">
        <v>0</v>
      </c>
      <c r="I158" s="7">
        <v>0</v>
      </c>
      <c r="J158" s="7">
        <v>0</v>
      </c>
      <c r="K158" s="7" t="s">
        <v>507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507</v>
      </c>
      <c r="X158" s="7">
        <v>98838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1737</v>
      </c>
      <c r="G161" s="9">
        <v>38348</v>
      </c>
      <c r="H161" s="9">
        <v>0</v>
      </c>
      <c r="I161" s="9">
        <v>0</v>
      </c>
      <c r="J161" s="9">
        <v>0</v>
      </c>
      <c r="K161" s="9" t="s">
        <v>507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507</v>
      </c>
      <c r="X161" s="9">
        <v>98838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1481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1481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800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800</v>
      </c>
      <c r="X165" s="9">
        <v>800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1481</v>
      </c>
      <c r="H166" s="7">
        <v>0</v>
      </c>
      <c r="I166" s="7">
        <v>0</v>
      </c>
      <c r="J166" s="7">
        <v>0</v>
      </c>
      <c r="K166" s="7">
        <v>800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800</v>
      </c>
      <c r="X166" s="7">
        <v>2281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688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688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 t="s">
        <v>689</v>
      </c>
      <c r="H180" s="7">
        <v>0</v>
      </c>
      <c r="I180" s="7">
        <v>0</v>
      </c>
      <c r="J180" s="7">
        <v>0</v>
      </c>
      <c r="K180" s="7">
        <v>800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800</v>
      </c>
      <c r="X180" s="7" t="s">
        <v>690</v>
      </c>
    </row>
    <row r="181" spans="1:24" x14ac:dyDescent="0.25">
      <c r="A181" s="8" t="s">
        <v>691</v>
      </c>
      <c r="B181" s="9">
        <v>61450</v>
      </c>
      <c r="C181" s="9">
        <v>0</v>
      </c>
      <c r="D181" s="9">
        <v>0</v>
      </c>
      <c r="E181" s="9">
        <v>0</v>
      </c>
      <c r="F181" s="9">
        <v>1737</v>
      </c>
      <c r="G181" s="9">
        <v>36585</v>
      </c>
      <c r="H181" s="9">
        <v>0</v>
      </c>
      <c r="I181" s="9">
        <v>0</v>
      </c>
      <c r="J181" s="9">
        <v>0</v>
      </c>
      <c r="K181" s="9" t="s">
        <v>674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674</v>
      </c>
      <c r="X181" s="9">
        <v>97875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692</v>
      </c>
      <c r="D185" s="3" t="s">
        <v>326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67184</v>
      </c>
      <c r="D188" s="7">
        <v>63145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243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693</v>
      </c>
      <c r="D194" s="7" t="s">
        <v>328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694</v>
      </c>
      <c r="D196" s="7" t="s">
        <v>330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695</v>
      </c>
      <c r="D198" s="7" t="s">
        <v>332</v>
      </c>
    </row>
    <row r="199" spans="1:4" x14ac:dyDescent="0.25">
      <c r="A199" s="8" t="s">
        <v>591</v>
      </c>
      <c r="B199" s="9">
        <v>0</v>
      </c>
      <c r="C199" s="9">
        <v>4872</v>
      </c>
      <c r="D199" s="9">
        <v>13136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4872</v>
      </c>
      <c r="D206" s="5">
        <v>13136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696</v>
      </c>
      <c r="D229" s="9" t="s">
        <v>335</v>
      </c>
    </row>
    <row r="230" spans="1:4" x14ac:dyDescent="0.25">
      <c r="A230" s="6" t="s">
        <v>224</v>
      </c>
      <c r="B230" s="7">
        <v>0</v>
      </c>
      <c r="C230" s="7">
        <v>0</v>
      </c>
      <c r="D230" s="7" t="s">
        <v>337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 t="s">
        <v>697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698</v>
      </c>
      <c r="D234" s="5" t="s">
        <v>339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28582</v>
      </c>
      <c r="D237" s="9">
        <v>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699</v>
      </c>
      <c r="D244" s="7" t="s">
        <v>341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700</v>
      </c>
      <c r="D250" s="7" t="s">
        <v>343</v>
      </c>
    </row>
    <row r="251" spans="1:4" x14ac:dyDescent="0.25">
      <c r="A251" s="8" t="s">
        <v>629</v>
      </c>
      <c r="B251" s="9">
        <v>0</v>
      </c>
      <c r="C251" s="9">
        <v>0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11216</v>
      </c>
      <c r="D254" s="5" t="s">
        <v>344</v>
      </c>
    </row>
    <row r="255" spans="1:4" x14ac:dyDescent="0.25">
      <c r="A255" s="8" t="s">
        <v>250</v>
      </c>
      <c r="B255" s="9">
        <v>0</v>
      </c>
      <c r="C255" s="9">
        <v>2580</v>
      </c>
      <c r="D255" s="9" t="s">
        <v>345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>
        <v>2580</v>
      </c>
      <c r="D257" s="9" t="s">
        <v>345</v>
      </c>
    </row>
    <row r="258" spans="1:6" x14ac:dyDescent="0.25">
      <c r="A258" s="6" t="s">
        <v>255</v>
      </c>
      <c r="B258" s="7">
        <v>3</v>
      </c>
      <c r="C258" s="7">
        <v>2358</v>
      </c>
      <c r="D258" s="7">
        <v>19673</v>
      </c>
    </row>
    <row r="259" spans="1:6" x14ac:dyDescent="0.25">
      <c r="A259" s="4" t="s">
        <v>256</v>
      </c>
      <c r="B259" s="5">
        <v>3</v>
      </c>
      <c r="C259" s="5">
        <v>4938</v>
      </c>
      <c r="D259" s="5">
        <v>3253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675</v>
      </c>
      <c r="D263" s="3" t="s">
        <v>285</v>
      </c>
      <c r="E263" s="3" t="s">
        <v>676</v>
      </c>
      <c r="F263" s="3" t="s">
        <v>287</v>
      </c>
    </row>
    <row r="264" spans="1:6" x14ac:dyDescent="0.25">
      <c r="A264" s="6" t="s">
        <v>258</v>
      </c>
      <c r="B264" s="7">
        <v>0</v>
      </c>
      <c r="C264" s="7">
        <v>3372</v>
      </c>
      <c r="D264" s="7">
        <v>2125</v>
      </c>
      <c r="E264" s="7">
        <v>1481</v>
      </c>
      <c r="F264" s="7">
        <v>1351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208</v>
      </c>
      <c r="D269" s="9">
        <v>553</v>
      </c>
      <c r="E269" s="9">
        <v>800</v>
      </c>
      <c r="F269" s="9">
        <v>1150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208</v>
      </c>
      <c r="D272" s="7">
        <v>553</v>
      </c>
      <c r="E272" s="7">
        <v>800</v>
      </c>
      <c r="F272" s="7">
        <v>1150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208</v>
      </c>
      <c r="D303" s="5">
        <v>553</v>
      </c>
      <c r="E303" s="5">
        <v>800</v>
      </c>
      <c r="F303" s="5">
        <v>1150</v>
      </c>
    </row>
    <row r="304" spans="1:6" x14ac:dyDescent="0.25">
      <c r="A304" s="4" t="s">
        <v>671</v>
      </c>
      <c r="B304" s="5">
        <v>0</v>
      </c>
      <c r="C304" s="5">
        <v>3580</v>
      </c>
      <c r="D304" s="5">
        <v>2678</v>
      </c>
      <c r="E304" s="5">
        <v>2281</v>
      </c>
      <c r="F304" s="5">
        <v>2501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42947.5457986111</v>
      </c>
    </row>
    <row r="311" spans="1:2" x14ac:dyDescent="0.25">
      <c r="A311" s="8" t="s">
        <v>277</v>
      </c>
      <c r="B311" s="10">
        <v>42947.513599537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42947.513773148101</v>
      </c>
    </row>
    <row r="314" spans="1:2" x14ac:dyDescent="0.25">
      <c r="A314" s="6" t="s">
        <v>276</v>
      </c>
      <c r="B314" s="11">
        <v>42947.546145833301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42947.546342592599</v>
      </c>
    </row>
    <row r="317" spans="1:2" x14ac:dyDescent="0.25">
      <c r="A317" s="8" t="s">
        <v>277</v>
      </c>
      <c r="B317" s="10">
        <v>42947.5139583333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42947.514224537001</v>
      </c>
    </row>
    <row r="320" spans="1:2" x14ac:dyDescent="0.25">
      <c r="A320" s="6" t="s">
        <v>276</v>
      </c>
      <c r="B320" s="11">
        <v>42947.546689814801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3153-8642-4EE1-B0C8-D393CA816BAA}">
  <dimension ref="A1:X320"/>
  <sheetViews>
    <sheetView topLeftCell="A235" workbookViewId="0">
      <selection activeCell="C259" sqref="C186:C259"/>
    </sheetView>
  </sheetViews>
  <sheetFormatPr defaultRowHeight="15" x14ac:dyDescent="0.25"/>
  <cols>
    <col min="1" max="1" width="50.7109375" customWidth="1"/>
    <col min="2" max="2" width="17.28515625" customWidth="1"/>
    <col min="3" max="4" width="49" customWidth="1"/>
    <col min="5" max="6" width="51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701</v>
      </c>
    </row>
    <row r="3" spans="1:4" x14ac:dyDescent="0.25">
      <c r="A3" t="s">
        <v>489</v>
      </c>
    </row>
    <row r="4" spans="1:4" x14ac:dyDescent="0.25">
      <c r="A4" t="s">
        <v>353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702</v>
      </c>
      <c r="D9" s="3" t="s">
        <v>422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2130</v>
      </c>
      <c r="D12" s="7">
        <v>2358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21414</v>
      </c>
      <c r="D14" s="7">
        <v>20586</v>
      </c>
    </row>
    <row r="15" spans="1:4" x14ac:dyDescent="0.25">
      <c r="A15" s="8" t="s">
        <v>31</v>
      </c>
      <c r="B15" s="9">
        <v>4</v>
      </c>
      <c r="C15" s="9">
        <v>13467</v>
      </c>
      <c r="D15" s="9">
        <v>10951</v>
      </c>
    </row>
    <row r="16" spans="1:4" x14ac:dyDescent="0.25">
      <c r="A16" s="6" t="s">
        <v>18</v>
      </c>
      <c r="B16" s="7">
        <v>0</v>
      </c>
      <c r="C16" s="7">
        <v>1135</v>
      </c>
      <c r="D16" s="7">
        <v>3221</v>
      </c>
    </row>
    <row r="17" spans="1:4" x14ac:dyDescent="0.25">
      <c r="A17" s="8" t="s">
        <v>32</v>
      </c>
      <c r="B17" s="9">
        <v>0</v>
      </c>
      <c r="C17" s="9">
        <v>6812</v>
      </c>
      <c r="D17" s="9">
        <v>6414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2042</v>
      </c>
      <c r="D19" s="9">
        <v>1873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7502</v>
      </c>
      <c r="D22" s="7">
        <v>3414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33088</v>
      </c>
      <c r="D24" s="7">
        <v>28231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33088</v>
      </c>
      <c r="D26" s="5">
        <v>28231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8815</v>
      </c>
      <c r="D30" s="7">
        <v>3713</v>
      </c>
    </row>
    <row r="31" spans="1:4" x14ac:dyDescent="0.25">
      <c r="A31" s="8" t="s">
        <v>31</v>
      </c>
      <c r="B31" s="9">
        <v>0</v>
      </c>
      <c r="C31" s="9">
        <v>4143</v>
      </c>
      <c r="D31" s="9">
        <v>0</v>
      </c>
    </row>
    <row r="32" spans="1:4" x14ac:dyDescent="0.25">
      <c r="A32" s="6" t="s">
        <v>18</v>
      </c>
      <c r="B32" s="7">
        <v>0</v>
      </c>
      <c r="C32" s="7">
        <v>0</v>
      </c>
      <c r="D32" s="7">
        <v>314</v>
      </c>
    </row>
    <row r="33" spans="1:4" x14ac:dyDescent="0.25">
      <c r="A33" s="8" t="s">
        <v>32</v>
      </c>
      <c r="B33" s="9">
        <v>0</v>
      </c>
      <c r="C33" s="9">
        <v>4672</v>
      </c>
      <c r="D33" s="9">
        <v>3399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187569</v>
      </c>
      <c r="D38" s="7">
        <v>178830</v>
      </c>
    </row>
    <row r="39" spans="1:4" x14ac:dyDescent="0.25">
      <c r="A39" s="8" t="s">
        <v>497</v>
      </c>
      <c r="B39" s="9">
        <v>8</v>
      </c>
      <c r="C39" s="9">
        <v>7395</v>
      </c>
      <c r="D39" s="9">
        <v>8010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216585</v>
      </c>
      <c r="D45" s="5">
        <v>203359</v>
      </c>
    </row>
    <row r="46" spans="1:4" x14ac:dyDescent="0.25">
      <c r="A46" s="4" t="s">
        <v>39</v>
      </c>
      <c r="B46" s="5">
        <v>0</v>
      </c>
      <c r="C46" s="5">
        <v>249673</v>
      </c>
      <c r="D46" s="5">
        <v>231590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13413</v>
      </c>
      <c r="D49" s="9">
        <v>15484</v>
      </c>
    </row>
    <row r="50" spans="1:4" x14ac:dyDescent="0.25">
      <c r="A50" s="6" t="s">
        <v>501</v>
      </c>
      <c r="B50" s="7">
        <v>0</v>
      </c>
      <c r="C50" s="7">
        <v>28726</v>
      </c>
      <c r="D50" s="7">
        <v>25165</v>
      </c>
    </row>
    <row r="51" spans="1:4" x14ac:dyDescent="0.25">
      <c r="A51" s="8" t="s">
        <v>44</v>
      </c>
      <c r="B51" s="9">
        <v>10</v>
      </c>
      <c r="C51" s="9">
        <v>17371</v>
      </c>
      <c r="D51" s="9">
        <v>14911</v>
      </c>
    </row>
    <row r="52" spans="1:4" x14ac:dyDescent="0.25">
      <c r="A52" s="6" t="s">
        <v>46</v>
      </c>
      <c r="B52" s="7">
        <v>0</v>
      </c>
      <c r="C52" s="7">
        <v>749</v>
      </c>
      <c r="D52" s="7">
        <v>734</v>
      </c>
    </row>
    <row r="53" spans="1:4" x14ac:dyDescent="0.25">
      <c r="A53" s="8" t="s">
        <v>45</v>
      </c>
      <c r="B53" s="9">
        <v>11</v>
      </c>
      <c r="C53" s="9">
        <v>10606</v>
      </c>
      <c r="D53" s="9">
        <v>9520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42139</v>
      </c>
      <c r="D59" s="9">
        <v>40649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42139</v>
      </c>
      <c r="D61" s="5">
        <v>40649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84790</v>
      </c>
      <c r="D63" s="9">
        <v>70801</v>
      </c>
    </row>
    <row r="64" spans="1:4" x14ac:dyDescent="0.25">
      <c r="A64" s="6" t="s">
        <v>501</v>
      </c>
      <c r="B64" s="7">
        <v>0</v>
      </c>
      <c r="C64" s="7">
        <v>7182</v>
      </c>
      <c r="D64" s="7">
        <v>8778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0</v>
      </c>
      <c r="D66" s="7">
        <v>0</v>
      </c>
    </row>
    <row r="67" spans="1:4" x14ac:dyDescent="0.25">
      <c r="A67" s="8" t="s">
        <v>45</v>
      </c>
      <c r="B67" s="9">
        <v>12</v>
      </c>
      <c r="C67" s="9">
        <v>7182</v>
      </c>
      <c r="D67" s="9">
        <v>8778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13</v>
      </c>
      <c r="C71" s="9">
        <v>12593</v>
      </c>
      <c r="D71" s="9">
        <v>12524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104565</v>
      </c>
      <c r="D74" s="5">
        <v>92103</v>
      </c>
    </row>
    <row r="75" spans="1:4" x14ac:dyDescent="0.25">
      <c r="A75" s="4" t="s">
        <v>60</v>
      </c>
      <c r="B75" s="5">
        <v>0</v>
      </c>
      <c r="C75" s="5">
        <v>146704</v>
      </c>
      <c r="D75" s="5">
        <v>132752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14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2414</v>
      </c>
      <c r="D81" s="9">
        <v>1737</v>
      </c>
    </row>
    <row r="82" spans="1:6" x14ac:dyDescent="0.25">
      <c r="A82" s="6" t="s">
        <v>67</v>
      </c>
      <c r="B82" s="7">
        <v>0</v>
      </c>
      <c r="C82" s="7">
        <v>40748</v>
      </c>
      <c r="D82" s="7">
        <v>38348</v>
      </c>
    </row>
    <row r="83" spans="1:6" x14ac:dyDescent="0.25">
      <c r="A83" s="8" t="s">
        <v>68</v>
      </c>
      <c r="B83" s="9">
        <v>0</v>
      </c>
      <c r="C83" s="9" t="s">
        <v>703</v>
      </c>
      <c r="D83" s="9" t="s">
        <v>507</v>
      </c>
    </row>
    <row r="84" spans="1:6" x14ac:dyDescent="0.25">
      <c r="A84" s="4" t="s">
        <v>71</v>
      </c>
      <c r="B84" s="5">
        <v>0</v>
      </c>
      <c r="C84" s="5">
        <v>102969</v>
      </c>
      <c r="D84" s="5">
        <v>98838</v>
      </c>
    </row>
    <row r="85" spans="1:6" x14ac:dyDescent="0.25">
      <c r="A85" s="4" t="s">
        <v>72</v>
      </c>
      <c r="B85" s="5">
        <v>0</v>
      </c>
      <c r="C85" s="5">
        <v>249673</v>
      </c>
      <c r="D85" s="5">
        <v>231590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704</v>
      </c>
      <c r="D89" s="3" t="s">
        <v>356</v>
      </c>
      <c r="E89" s="3" t="s">
        <v>705</v>
      </c>
      <c r="F89" s="3" t="s">
        <v>358</v>
      </c>
    </row>
    <row r="90" spans="1:6" x14ac:dyDescent="0.25">
      <c r="A90" s="4" t="s">
        <v>510</v>
      </c>
      <c r="B90" s="5">
        <v>0</v>
      </c>
      <c r="C90" s="5">
        <v>44899</v>
      </c>
      <c r="D90" s="5">
        <v>43791</v>
      </c>
      <c r="E90" s="5">
        <v>116155</v>
      </c>
      <c r="F90" s="5">
        <v>110004</v>
      </c>
    </row>
    <row r="91" spans="1:6" x14ac:dyDescent="0.25">
      <c r="A91" s="8" t="s">
        <v>79</v>
      </c>
      <c r="B91" s="9">
        <v>0</v>
      </c>
      <c r="C91" s="9" t="s">
        <v>706</v>
      </c>
      <c r="D91" s="9" t="s">
        <v>360</v>
      </c>
      <c r="E91" s="9" t="s">
        <v>707</v>
      </c>
      <c r="F91" s="9" t="s">
        <v>362</v>
      </c>
    </row>
    <row r="92" spans="1:6" x14ac:dyDescent="0.25">
      <c r="A92" s="4" t="s">
        <v>82</v>
      </c>
      <c r="B92" s="5">
        <v>0</v>
      </c>
      <c r="C92" s="5">
        <v>18331</v>
      </c>
      <c r="D92" s="5">
        <v>18608</v>
      </c>
      <c r="E92" s="5">
        <v>43323</v>
      </c>
      <c r="F92" s="5">
        <v>41783</v>
      </c>
    </row>
    <row r="93" spans="1:6" x14ac:dyDescent="0.25">
      <c r="A93" s="8" t="s">
        <v>83</v>
      </c>
      <c r="B93" s="9">
        <v>0</v>
      </c>
      <c r="C93" s="9" t="s">
        <v>708</v>
      </c>
      <c r="D93" s="9" t="s">
        <v>364</v>
      </c>
      <c r="E93" s="9" t="s">
        <v>709</v>
      </c>
      <c r="F93" s="9" t="s">
        <v>366</v>
      </c>
    </row>
    <row r="94" spans="1:6" x14ac:dyDescent="0.25">
      <c r="A94" s="6" t="s">
        <v>86</v>
      </c>
      <c r="B94" s="7">
        <v>0</v>
      </c>
      <c r="C94" s="7" t="s">
        <v>710</v>
      </c>
      <c r="D94" s="7" t="s">
        <v>368</v>
      </c>
      <c r="E94" s="7" t="s">
        <v>711</v>
      </c>
      <c r="F94" s="7" t="s">
        <v>370</v>
      </c>
    </row>
    <row r="95" spans="1:6" x14ac:dyDescent="0.25">
      <c r="A95" s="8" t="s">
        <v>90</v>
      </c>
      <c r="B95" s="9">
        <v>0</v>
      </c>
      <c r="C95" s="9">
        <v>553</v>
      </c>
      <c r="D95" s="9">
        <v>0</v>
      </c>
      <c r="E95" s="9">
        <v>1204</v>
      </c>
      <c r="F95" s="9">
        <v>0</v>
      </c>
    </row>
    <row r="96" spans="1:6" x14ac:dyDescent="0.25">
      <c r="A96" s="6" t="s">
        <v>91</v>
      </c>
      <c r="B96" s="7">
        <v>0</v>
      </c>
      <c r="C96" s="7" t="s">
        <v>712</v>
      </c>
      <c r="D96" s="7" t="s">
        <v>372</v>
      </c>
      <c r="E96" s="7" t="s">
        <v>713</v>
      </c>
      <c r="F96" s="7" t="s">
        <v>374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7367</v>
      </c>
      <c r="D98" s="5">
        <v>8185</v>
      </c>
      <c r="E98" s="5">
        <v>10945</v>
      </c>
      <c r="F98" s="5">
        <v>10390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180</v>
      </c>
      <c r="D100" s="7">
        <v>117</v>
      </c>
      <c r="E100" s="7">
        <v>402</v>
      </c>
      <c r="F100" s="7">
        <v>346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714</v>
      </c>
      <c r="D102" s="7" t="s">
        <v>376</v>
      </c>
      <c r="E102" s="7" t="s">
        <v>715</v>
      </c>
      <c r="F102" s="7" t="s">
        <v>378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 t="s">
        <v>716</v>
      </c>
      <c r="D105" s="9" t="s">
        <v>380</v>
      </c>
      <c r="E105" s="9">
        <v>1467</v>
      </c>
      <c r="F105" s="9" t="s">
        <v>372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4790</v>
      </c>
      <c r="D110" s="5">
        <v>3412</v>
      </c>
      <c r="E110" s="5">
        <v>6331</v>
      </c>
      <c r="F110" s="5">
        <v>4765</v>
      </c>
    </row>
    <row r="111" spans="1:6" x14ac:dyDescent="0.25">
      <c r="A111" s="8" t="s">
        <v>530</v>
      </c>
      <c r="B111" s="9">
        <v>0</v>
      </c>
      <c r="C111" s="9">
        <v>50</v>
      </c>
      <c r="D111" s="9" t="s">
        <v>383</v>
      </c>
      <c r="E111" s="9" t="s">
        <v>717</v>
      </c>
      <c r="F111" s="9" t="s">
        <v>383</v>
      </c>
    </row>
    <row r="112" spans="1:6" x14ac:dyDescent="0.25">
      <c r="A112" s="6" t="s">
        <v>531</v>
      </c>
      <c r="B112" s="7">
        <v>0</v>
      </c>
      <c r="C112" s="7">
        <v>4840</v>
      </c>
      <c r="D112" s="7">
        <v>2917</v>
      </c>
      <c r="E112" s="7">
        <v>6321</v>
      </c>
      <c r="F112" s="7">
        <v>4270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4840</v>
      </c>
      <c r="D114" s="5">
        <v>2917</v>
      </c>
      <c r="E114" s="5">
        <v>6321</v>
      </c>
      <c r="F114" s="5">
        <v>4270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7.9000000000000001E-2</v>
      </c>
      <c r="D117" s="9">
        <v>4.7E-2</v>
      </c>
      <c r="E117" s="9">
        <v>0.10299999999999999</v>
      </c>
      <c r="F117" s="9">
        <v>6.9000000000000006E-2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7.9000000000000001E-2</v>
      </c>
      <c r="D119" s="9">
        <v>4.7E-2</v>
      </c>
      <c r="E119" s="9">
        <v>0.10299999999999999</v>
      </c>
      <c r="F119" s="9">
        <v>6.9000000000000006E-2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164</v>
      </c>
      <c r="B134" s="7">
        <v>61450</v>
      </c>
      <c r="C134" s="7">
        <v>0</v>
      </c>
      <c r="D134" s="7">
        <v>0</v>
      </c>
      <c r="E134" s="7">
        <v>0</v>
      </c>
      <c r="F134" s="7">
        <v>1665</v>
      </c>
      <c r="G134" s="7">
        <v>33319</v>
      </c>
      <c r="H134" s="7">
        <v>0</v>
      </c>
      <c r="I134" s="7">
        <v>0</v>
      </c>
      <c r="J134" s="7">
        <v>0</v>
      </c>
      <c r="K134" s="7" t="s">
        <v>70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70</v>
      </c>
      <c r="X134" s="7">
        <v>92067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1665</v>
      </c>
      <c r="G137" s="9">
        <v>33319</v>
      </c>
      <c r="H137" s="9">
        <v>0</v>
      </c>
      <c r="I137" s="9">
        <v>0</v>
      </c>
      <c r="J137" s="9">
        <v>0</v>
      </c>
      <c r="K137" s="9" t="s">
        <v>70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70</v>
      </c>
      <c r="X137" s="9">
        <v>92067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4270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4270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1156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1156</v>
      </c>
      <c r="X141" s="9">
        <v>1156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4270</v>
      </c>
      <c r="H142" s="7">
        <v>0</v>
      </c>
      <c r="I142" s="7">
        <v>0</v>
      </c>
      <c r="J142" s="7">
        <v>0</v>
      </c>
      <c r="K142" s="7">
        <v>1156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1156</v>
      </c>
      <c r="X142" s="7">
        <v>5426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322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322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72</v>
      </c>
      <c r="G155" s="9" t="s">
        <v>323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72</v>
      </c>
      <c r="G156" s="7">
        <v>2528</v>
      </c>
      <c r="H156" s="7">
        <v>0</v>
      </c>
      <c r="I156" s="7">
        <v>0</v>
      </c>
      <c r="J156" s="7">
        <v>0</v>
      </c>
      <c r="K156" s="7">
        <v>1156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1156</v>
      </c>
      <c r="X156" s="7">
        <v>3756</v>
      </c>
    </row>
    <row r="157" spans="1:24" x14ac:dyDescent="0.25">
      <c r="A157" s="8" t="s">
        <v>393</v>
      </c>
      <c r="B157" s="9">
        <v>61450</v>
      </c>
      <c r="C157" s="9">
        <v>0</v>
      </c>
      <c r="D157" s="9">
        <v>0</v>
      </c>
      <c r="E157" s="9">
        <v>0</v>
      </c>
      <c r="F157" s="9">
        <v>1737</v>
      </c>
      <c r="G157" s="9">
        <v>35847</v>
      </c>
      <c r="H157" s="9">
        <v>0</v>
      </c>
      <c r="I157" s="9">
        <v>0</v>
      </c>
      <c r="J157" s="9">
        <v>0</v>
      </c>
      <c r="K157" s="9" t="s">
        <v>355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355</v>
      </c>
      <c r="X157" s="9">
        <v>95823</v>
      </c>
    </row>
    <row r="158" spans="1:24" x14ac:dyDescent="0.25">
      <c r="A158" s="6" t="s">
        <v>571</v>
      </c>
      <c r="B158" s="7">
        <v>61450</v>
      </c>
      <c r="C158" s="7">
        <v>0</v>
      </c>
      <c r="D158" s="7">
        <v>0</v>
      </c>
      <c r="E158" s="7">
        <v>0</v>
      </c>
      <c r="F158" s="7">
        <v>1737</v>
      </c>
      <c r="G158" s="7">
        <v>38348</v>
      </c>
      <c r="H158" s="7">
        <v>0</v>
      </c>
      <c r="I158" s="7">
        <v>0</v>
      </c>
      <c r="J158" s="7">
        <v>0</v>
      </c>
      <c r="K158" s="7" t="s">
        <v>507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507</v>
      </c>
      <c r="X158" s="7">
        <v>98838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1737</v>
      </c>
      <c r="G161" s="9">
        <v>38348</v>
      </c>
      <c r="H161" s="9">
        <v>0</v>
      </c>
      <c r="I161" s="9">
        <v>0</v>
      </c>
      <c r="J161" s="9">
        <v>0</v>
      </c>
      <c r="K161" s="9" t="s">
        <v>507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507</v>
      </c>
      <c r="X161" s="9">
        <v>98838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6321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6321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1054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1054</v>
      </c>
      <c r="X165" s="9">
        <v>1054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6321</v>
      </c>
      <c r="H166" s="7">
        <v>0</v>
      </c>
      <c r="I166" s="7">
        <v>0</v>
      </c>
      <c r="J166" s="7">
        <v>0</v>
      </c>
      <c r="K166" s="7">
        <v>1054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1054</v>
      </c>
      <c r="X166" s="7">
        <v>7375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688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688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677</v>
      </c>
      <c r="G179" s="9" t="s">
        <v>718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677</v>
      </c>
      <c r="G180" s="7">
        <v>2400</v>
      </c>
      <c r="H180" s="7">
        <v>0</v>
      </c>
      <c r="I180" s="7">
        <v>0</v>
      </c>
      <c r="J180" s="7">
        <v>0</v>
      </c>
      <c r="K180" s="7">
        <v>1054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1054</v>
      </c>
      <c r="X180" s="7">
        <v>4131</v>
      </c>
    </row>
    <row r="181" spans="1:24" x14ac:dyDescent="0.25">
      <c r="A181" s="8" t="s">
        <v>719</v>
      </c>
      <c r="B181" s="9">
        <v>61450</v>
      </c>
      <c r="C181" s="9">
        <v>0</v>
      </c>
      <c r="D181" s="9">
        <v>0</v>
      </c>
      <c r="E181" s="9">
        <v>0</v>
      </c>
      <c r="F181" s="9">
        <v>2414</v>
      </c>
      <c r="G181" s="9">
        <v>40748</v>
      </c>
      <c r="H181" s="9">
        <v>0</v>
      </c>
      <c r="I181" s="9">
        <v>0</v>
      </c>
      <c r="J181" s="9">
        <v>0</v>
      </c>
      <c r="K181" s="9" t="s">
        <v>703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703</v>
      </c>
      <c r="X181" s="9">
        <v>102969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720</v>
      </c>
      <c r="D185" s="3" t="s">
        <v>394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110392</v>
      </c>
      <c r="D188" s="7">
        <v>102724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792</v>
      </c>
      <c r="D192" s="7">
        <v>1501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721</v>
      </c>
      <c r="D194" s="7" t="s">
        <v>396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722</v>
      </c>
      <c r="D196" s="7" t="s">
        <v>398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723</v>
      </c>
      <c r="D198" s="7" t="s">
        <v>400</v>
      </c>
    </row>
    <row r="199" spans="1:4" x14ac:dyDescent="0.25">
      <c r="A199" s="8" t="s">
        <v>591</v>
      </c>
      <c r="B199" s="9">
        <v>0</v>
      </c>
      <c r="C199" s="9">
        <v>14059</v>
      </c>
      <c r="D199" s="9">
        <v>19031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14059</v>
      </c>
      <c r="D206" s="5">
        <v>19031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617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724</v>
      </c>
      <c r="D229" s="9" t="s">
        <v>402</v>
      </c>
    </row>
    <row r="230" spans="1:4" x14ac:dyDescent="0.25">
      <c r="A230" s="6" t="s">
        <v>224</v>
      </c>
      <c r="B230" s="7">
        <v>0</v>
      </c>
      <c r="C230" s="7">
        <v>0</v>
      </c>
      <c r="D230" s="7" t="s">
        <v>404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724</v>
      </c>
      <c r="D234" s="5" t="s">
        <v>406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28582</v>
      </c>
      <c r="D237" s="9">
        <v>6849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725</v>
      </c>
      <c r="D244" s="7" t="s">
        <v>408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726</v>
      </c>
      <c r="D250" s="7" t="s">
        <v>410</v>
      </c>
    </row>
    <row r="251" spans="1:4" x14ac:dyDescent="0.25">
      <c r="A251" s="8" t="s">
        <v>629</v>
      </c>
      <c r="B251" s="9">
        <v>0</v>
      </c>
      <c r="C251" s="9">
        <v>0</v>
      </c>
      <c r="D251" s="9" t="s">
        <v>412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6271</v>
      </c>
      <c r="D254" s="5" t="s">
        <v>413</v>
      </c>
    </row>
    <row r="255" spans="1:4" x14ac:dyDescent="0.25">
      <c r="A255" s="8" t="s">
        <v>250</v>
      </c>
      <c r="B255" s="9">
        <v>0</v>
      </c>
      <c r="C255" s="9" t="s">
        <v>727</v>
      </c>
      <c r="D255" s="9" t="s">
        <v>414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727</v>
      </c>
      <c r="D257" s="9" t="s">
        <v>414</v>
      </c>
    </row>
    <row r="258" spans="1:6" x14ac:dyDescent="0.25">
      <c r="A258" s="6" t="s">
        <v>255</v>
      </c>
      <c r="B258" s="7">
        <v>3</v>
      </c>
      <c r="C258" s="7">
        <v>2358</v>
      </c>
      <c r="D258" s="7">
        <v>19673</v>
      </c>
    </row>
    <row r="259" spans="1:6" x14ac:dyDescent="0.25">
      <c r="A259" s="4" t="s">
        <v>256</v>
      </c>
      <c r="B259" s="5">
        <v>3</v>
      </c>
      <c r="C259" s="5">
        <v>2130</v>
      </c>
      <c r="D259" s="5">
        <v>2052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704</v>
      </c>
      <c r="D263" s="3" t="s">
        <v>356</v>
      </c>
      <c r="E263" s="3" t="s">
        <v>705</v>
      </c>
      <c r="F263" s="3" t="s">
        <v>358</v>
      </c>
    </row>
    <row r="264" spans="1:6" x14ac:dyDescent="0.25">
      <c r="A264" s="6" t="s">
        <v>258</v>
      </c>
      <c r="B264" s="7">
        <v>0</v>
      </c>
      <c r="C264" s="7">
        <v>4840</v>
      </c>
      <c r="D264" s="7">
        <v>2917</v>
      </c>
      <c r="E264" s="7">
        <v>6321</v>
      </c>
      <c r="F264" s="7">
        <v>4270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254</v>
      </c>
      <c r="D269" s="9">
        <v>6</v>
      </c>
      <c r="E269" s="9">
        <v>1054</v>
      </c>
      <c r="F269" s="9">
        <v>1156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254</v>
      </c>
      <c r="D272" s="7">
        <v>6</v>
      </c>
      <c r="E272" s="7">
        <v>1054</v>
      </c>
      <c r="F272" s="7">
        <v>1156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254</v>
      </c>
      <c r="D303" s="5">
        <v>6</v>
      </c>
      <c r="E303" s="5">
        <v>1054</v>
      </c>
      <c r="F303" s="5">
        <v>1156</v>
      </c>
    </row>
    <row r="304" spans="1:6" x14ac:dyDescent="0.25">
      <c r="A304" s="4" t="s">
        <v>671</v>
      </c>
      <c r="B304" s="5">
        <v>0</v>
      </c>
      <c r="C304" s="5">
        <v>5094</v>
      </c>
      <c r="D304" s="5">
        <v>2923</v>
      </c>
      <c r="E304" s="5">
        <v>7375</v>
      </c>
      <c r="F304" s="5">
        <v>5426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277</v>
      </c>
      <c r="B310" s="11">
        <v>43038.728912036997</v>
      </c>
    </row>
    <row r="311" spans="1:2" x14ac:dyDescent="0.25">
      <c r="A311" s="8" t="s">
        <v>276</v>
      </c>
      <c r="B311" s="10">
        <v>43038.730983796297</v>
      </c>
    </row>
    <row r="312" spans="1:2" x14ac:dyDescent="0.25">
      <c r="A312" s="4" t="s">
        <v>278</v>
      </c>
      <c r="B312" s="5"/>
    </row>
    <row r="313" spans="1:2" x14ac:dyDescent="0.25">
      <c r="A313" s="8" t="s">
        <v>276</v>
      </c>
      <c r="B313" s="10">
        <v>43038.731226851902</v>
      </c>
    </row>
    <row r="314" spans="1:2" x14ac:dyDescent="0.25">
      <c r="A314" s="6" t="s">
        <v>277</v>
      </c>
      <c r="B314" s="11">
        <v>43038.729120370401</v>
      </c>
    </row>
    <row r="315" spans="1:2" x14ac:dyDescent="0.25">
      <c r="A315" s="4" t="s">
        <v>279</v>
      </c>
      <c r="B315" s="5"/>
    </row>
    <row r="316" spans="1:2" x14ac:dyDescent="0.25">
      <c r="A316" s="6" t="s">
        <v>277</v>
      </c>
      <c r="B316" s="11">
        <v>43038.729328703703</v>
      </c>
    </row>
    <row r="317" spans="1:2" x14ac:dyDescent="0.25">
      <c r="A317" s="8" t="s">
        <v>276</v>
      </c>
      <c r="B317" s="10">
        <v>43038.731412036999</v>
      </c>
    </row>
    <row r="318" spans="1:2" x14ac:dyDescent="0.25">
      <c r="A318" s="4" t="s">
        <v>280</v>
      </c>
      <c r="B318" s="5"/>
    </row>
    <row r="319" spans="1:2" x14ac:dyDescent="0.25">
      <c r="A319" s="8" t="s">
        <v>276</v>
      </c>
      <c r="B319" s="10">
        <v>43038.731597222199</v>
      </c>
    </row>
    <row r="320" spans="1:2" x14ac:dyDescent="0.25">
      <c r="A320" s="6" t="s">
        <v>277</v>
      </c>
      <c r="B320" s="11">
        <v>43038.729537036997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B2A8-1026-4F27-AB09-7C149AC3D6E0}">
  <dimension ref="A1:X320"/>
  <sheetViews>
    <sheetView topLeftCell="A236" workbookViewId="0">
      <selection activeCell="C259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51" customWidth="1"/>
    <col min="5" max="6" width="50.285156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728</v>
      </c>
    </row>
    <row r="3" spans="1:4" x14ac:dyDescent="0.25">
      <c r="A3" t="s">
        <v>489</v>
      </c>
    </row>
    <row r="4" spans="1:4" x14ac:dyDescent="0.25">
      <c r="A4" t="s">
        <v>421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729</v>
      </c>
      <c r="D9" s="3" t="s">
        <v>422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14577</v>
      </c>
      <c r="D12" s="7">
        <v>2358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22966</v>
      </c>
      <c r="D14" s="7">
        <v>20586</v>
      </c>
    </row>
    <row r="15" spans="1:4" x14ac:dyDescent="0.25">
      <c r="A15" s="8" t="s">
        <v>31</v>
      </c>
      <c r="B15" s="9">
        <v>4</v>
      </c>
      <c r="C15" s="9">
        <v>10639</v>
      </c>
      <c r="D15" s="9">
        <v>10951</v>
      </c>
    </row>
    <row r="16" spans="1:4" x14ac:dyDescent="0.25">
      <c r="A16" s="6" t="s">
        <v>18</v>
      </c>
      <c r="B16" s="7">
        <v>0</v>
      </c>
      <c r="C16" s="7">
        <v>2158</v>
      </c>
      <c r="D16" s="7">
        <v>3221</v>
      </c>
    </row>
    <row r="17" spans="1:4" x14ac:dyDescent="0.25">
      <c r="A17" s="8" t="s">
        <v>32</v>
      </c>
      <c r="B17" s="9">
        <v>0</v>
      </c>
      <c r="C17" s="9">
        <v>10169</v>
      </c>
      <c r="D17" s="9">
        <v>6414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1878</v>
      </c>
      <c r="D19" s="9">
        <v>1873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5818</v>
      </c>
      <c r="D22" s="7">
        <v>3414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45239</v>
      </c>
      <c r="D24" s="7">
        <v>28231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45239</v>
      </c>
      <c r="D26" s="5">
        <v>28231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8833</v>
      </c>
      <c r="D30" s="7">
        <v>3713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3797</v>
      </c>
      <c r="D32" s="7">
        <v>314</v>
      </c>
    </row>
    <row r="33" spans="1:4" x14ac:dyDescent="0.25">
      <c r="A33" s="8" t="s">
        <v>32</v>
      </c>
      <c r="B33" s="9">
        <v>0</v>
      </c>
      <c r="C33" s="9">
        <v>5036</v>
      </c>
      <c r="D33" s="9">
        <v>3399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194778</v>
      </c>
      <c r="D38" s="7">
        <v>178830</v>
      </c>
    </row>
    <row r="39" spans="1:4" x14ac:dyDescent="0.25">
      <c r="A39" s="8" t="s">
        <v>497</v>
      </c>
      <c r="B39" s="9">
        <v>8</v>
      </c>
      <c r="C39" s="9">
        <v>10931</v>
      </c>
      <c r="D39" s="9">
        <v>8010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227348</v>
      </c>
      <c r="D45" s="5">
        <v>203359</v>
      </c>
    </row>
    <row r="46" spans="1:4" x14ac:dyDescent="0.25">
      <c r="A46" s="4" t="s">
        <v>39</v>
      </c>
      <c r="B46" s="5">
        <v>0</v>
      </c>
      <c r="C46" s="5">
        <v>272587</v>
      </c>
      <c r="D46" s="5">
        <v>231590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17780</v>
      </c>
      <c r="D49" s="9">
        <v>15484</v>
      </c>
    </row>
    <row r="50" spans="1:4" x14ac:dyDescent="0.25">
      <c r="A50" s="6" t="s">
        <v>501</v>
      </c>
      <c r="B50" s="7">
        <v>0</v>
      </c>
      <c r="C50" s="7">
        <v>27675</v>
      </c>
      <c r="D50" s="7">
        <v>25165</v>
      </c>
    </row>
    <row r="51" spans="1:4" x14ac:dyDescent="0.25">
      <c r="A51" s="8" t="s">
        <v>44</v>
      </c>
      <c r="B51" s="9">
        <v>10</v>
      </c>
      <c r="C51" s="9">
        <v>19849</v>
      </c>
      <c r="D51" s="9">
        <v>14911</v>
      </c>
    </row>
    <row r="52" spans="1:4" x14ac:dyDescent="0.25">
      <c r="A52" s="6" t="s">
        <v>46</v>
      </c>
      <c r="B52" s="7">
        <v>0</v>
      </c>
      <c r="C52" s="7">
        <v>0</v>
      </c>
      <c r="D52" s="7">
        <v>734</v>
      </c>
    </row>
    <row r="53" spans="1:4" x14ac:dyDescent="0.25">
      <c r="A53" s="8" t="s">
        <v>45</v>
      </c>
      <c r="B53" s="9">
        <v>11</v>
      </c>
      <c r="C53" s="9">
        <v>7826</v>
      </c>
      <c r="D53" s="9">
        <v>9520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45455</v>
      </c>
      <c r="D59" s="9">
        <v>40649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45455</v>
      </c>
      <c r="D61" s="5">
        <v>40649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99417</v>
      </c>
      <c r="D63" s="9">
        <v>70801</v>
      </c>
    </row>
    <row r="64" spans="1:4" x14ac:dyDescent="0.25">
      <c r="A64" s="6" t="s">
        <v>501</v>
      </c>
      <c r="B64" s="7">
        <v>0</v>
      </c>
      <c r="C64" s="7">
        <v>10510</v>
      </c>
      <c r="D64" s="7">
        <v>8778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688</v>
      </c>
      <c r="D66" s="7">
        <v>0</v>
      </c>
    </row>
    <row r="67" spans="1:4" x14ac:dyDescent="0.25">
      <c r="A67" s="8" t="s">
        <v>45</v>
      </c>
      <c r="B67" s="9">
        <v>12</v>
      </c>
      <c r="C67" s="9">
        <v>9822</v>
      </c>
      <c r="D67" s="9">
        <v>8778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13</v>
      </c>
      <c r="C71" s="9">
        <v>12520</v>
      </c>
      <c r="D71" s="9">
        <v>12524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122447</v>
      </c>
      <c r="D74" s="5">
        <v>92103</v>
      </c>
    </row>
    <row r="75" spans="1:4" x14ac:dyDescent="0.25">
      <c r="A75" s="4" t="s">
        <v>60</v>
      </c>
      <c r="B75" s="5">
        <v>0</v>
      </c>
      <c r="C75" s="5">
        <v>167902</v>
      </c>
      <c r="D75" s="5">
        <v>132752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14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2414</v>
      </c>
      <c r="D81" s="9">
        <v>1737</v>
      </c>
    </row>
    <row r="82" spans="1:6" x14ac:dyDescent="0.25">
      <c r="A82" s="6" t="s">
        <v>67</v>
      </c>
      <c r="B82" s="7">
        <v>0</v>
      </c>
      <c r="C82" s="7">
        <v>42196</v>
      </c>
      <c r="D82" s="7">
        <v>38348</v>
      </c>
    </row>
    <row r="83" spans="1:6" x14ac:dyDescent="0.25">
      <c r="A83" s="8" t="s">
        <v>68</v>
      </c>
      <c r="B83" s="9">
        <v>0</v>
      </c>
      <c r="C83" s="9" t="s">
        <v>730</v>
      </c>
      <c r="D83" s="9" t="s">
        <v>507</v>
      </c>
    </row>
    <row r="84" spans="1:6" x14ac:dyDescent="0.25">
      <c r="A84" s="4" t="s">
        <v>71</v>
      </c>
      <c r="B84" s="5">
        <v>0</v>
      </c>
      <c r="C84" s="5">
        <v>104685</v>
      </c>
      <c r="D84" s="5">
        <v>98838</v>
      </c>
    </row>
    <row r="85" spans="1:6" x14ac:dyDescent="0.25">
      <c r="A85" s="4" t="s">
        <v>72</v>
      </c>
      <c r="B85" s="5">
        <v>0</v>
      </c>
      <c r="C85" s="5">
        <v>272587</v>
      </c>
      <c r="D85" s="5">
        <v>231590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731</v>
      </c>
      <c r="D89" s="3" t="s">
        <v>424</v>
      </c>
      <c r="E89" s="3" t="s">
        <v>732</v>
      </c>
      <c r="F89" s="3" t="s">
        <v>426</v>
      </c>
    </row>
    <row r="90" spans="1:6" x14ac:dyDescent="0.25">
      <c r="A90" s="4" t="s">
        <v>510</v>
      </c>
      <c r="B90" s="5">
        <v>0</v>
      </c>
      <c r="C90" s="5">
        <v>39759</v>
      </c>
      <c r="D90" s="5">
        <v>38897</v>
      </c>
      <c r="E90" s="5">
        <v>155914</v>
      </c>
      <c r="F90" s="5">
        <v>148901</v>
      </c>
    </row>
    <row r="91" spans="1:6" x14ac:dyDescent="0.25">
      <c r="A91" s="8" t="s">
        <v>79</v>
      </c>
      <c r="B91" s="9">
        <v>16</v>
      </c>
      <c r="C91" s="9" t="s">
        <v>733</v>
      </c>
      <c r="D91" s="9" t="s">
        <v>734</v>
      </c>
      <c r="E91" s="9" t="s">
        <v>735</v>
      </c>
      <c r="F91" s="9" t="s">
        <v>736</v>
      </c>
    </row>
    <row r="92" spans="1:6" x14ac:dyDescent="0.25">
      <c r="A92" s="4" t="s">
        <v>82</v>
      </c>
      <c r="B92" s="5">
        <v>0</v>
      </c>
      <c r="C92" s="5">
        <v>13394</v>
      </c>
      <c r="D92" s="5">
        <v>14620</v>
      </c>
      <c r="E92" s="5">
        <v>56717</v>
      </c>
      <c r="F92" s="5">
        <v>56403</v>
      </c>
    </row>
    <row r="93" spans="1:6" x14ac:dyDescent="0.25">
      <c r="A93" s="8" t="s">
        <v>83</v>
      </c>
      <c r="B93" s="9">
        <v>18</v>
      </c>
      <c r="C93" s="9" t="s">
        <v>737</v>
      </c>
      <c r="D93" s="9" t="s">
        <v>738</v>
      </c>
      <c r="E93" s="9" t="s">
        <v>739</v>
      </c>
      <c r="F93" s="9" t="s">
        <v>740</v>
      </c>
    </row>
    <row r="94" spans="1:6" x14ac:dyDescent="0.25">
      <c r="A94" s="6" t="s">
        <v>86</v>
      </c>
      <c r="B94" s="7">
        <v>17</v>
      </c>
      <c r="C94" s="7" t="s">
        <v>741</v>
      </c>
      <c r="D94" s="7" t="s">
        <v>742</v>
      </c>
      <c r="E94" s="7" t="s">
        <v>743</v>
      </c>
      <c r="F94" s="7" t="s">
        <v>744</v>
      </c>
    </row>
    <row r="95" spans="1:6" x14ac:dyDescent="0.25">
      <c r="A95" s="8" t="s">
        <v>90</v>
      </c>
      <c r="B95" s="9">
        <v>0</v>
      </c>
      <c r="C95" s="9">
        <v>4225</v>
      </c>
      <c r="D95" s="9">
        <v>1852</v>
      </c>
      <c r="E95" s="9">
        <v>5429</v>
      </c>
      <c r="F95" s="9">
        <v>1852</v>
      </c>
    </row>
    <row r="96" spans="1:6" x14ac:dyDescent="0.25">
      <c r="A96" s="6" t="s">
        <v>91</v>
      </c>
      <c r="B96" s="7">
        <v>0</v>
      </c>
      <c r="C96" s="7" t="s">
        <v>745</v>
      </c>
      <c r="D96" s="7" t="s">
        <v>746</v>
      </c>
      <c r="E96" s="7" t="s">
        <v>747</v>
      </c>
      <c r="F96" s="7" t="s">
        <v>748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5067</v>
      </c>
      <c r="D98" s="5">
        <v>6536</v>
      </c>
      <c r="E98" s="5">
        <v>16012</v>
      </c>
      <c r="F98" s="5">
        <v>16926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54</v>
      </c>
      <c r="D100" s="7">
        <v>115</v>
      </c>
      <c r="E100" s="7">
        <v>456</v>
      </c>
      <c r="F100" s="7">
        <v>461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749</v>
      </c>
      <c r="D102" s="7" t="s">
        <v>750</v>
      </c>
      <c r="E102" s="7" t="s">
        <v>751</v>
      </c>
      <c r="F102" s="7" t="s">
        <v>752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 t="s">
        <v>450</v>
      </c>
      <c r="E104" s="7">
        <v>0</v>
      </c>
      <c r="F104" s="7" t="s">
        <v>450</v>
      </c>
    </row>
    <row r="105" spans="1:6" x14ac:dyDescent="0.25">
      <c r="A105" s="8" t="s">
        <v>523</v>
      </c>
      <c r="B105" s="9">
        <v>0</v>
      </c>
      <c r="C105" s="9">
        <v>433</v>
      </c>
      <c r="D105" s="9">
        <v>743</v>
      </c>
      <c r="E105" s="9">
        <v>1900</v>
      </c>
      <c r="F105" s="9">
        <v>448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1491</v>
      </c>
      <c r="D110" s="5">
        <v>5263</v>
      </c>
      <c r="E110" s="5">
        <v>7822</v>
      </c>
      <c r="F110" s="5">
        <v>10028</v>
      </c>
    </row>
    <row r="111" spans="1:6" x14ac:dyDescent="0.25">
      <c r="A111" s="8" t="s">
        <v>530</v>
      </c>
      <c r="B111" s="9">
        <v>0</v>
      </c>
      <c r="C111" s="9" t="s">
        <v>753</v>
      </c>
      <c r="D111" s="9" t="s">
        <v>754</v>
      </c>
      <c r="E111" s="9" t="s">
        <v>755</v>
      </c>
      <c r="F111" s="9" t="s">
        <v>756</v>
      </c>
    </row>
    <row r="112" spans="1:6" x14ac:dyDescent="0.25">
      <c r="A112" s="6" t="s">
        <v>531</v>
      </c>
      <c r="B112" s="7">
        <v>0</v>
      </c>
      <c r="C112" s="7">
        <v>1448</v>
      </c>
      <c r="D112" s="7">
        <v>2501</v>
      </c>
      <c r="E112" s="7">
        <v>7769</v>
      </c>
      <c r="F112" s="7">
        <v>6771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1448</v>
      </c>
      <c r="D114" s="5">
        <v>2501</v>
      </c>
      <c r="E114" s="5">
        <v>7769</v>
      </c>
      <c r="F114" s="5">
        <v>6771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2.4E-2</v>
      </c>
      <c r="D117" s="9">
        <v>4.1000000000000002E-2</v>
      </c>
      <c r="E117" s="9">
        <v>0.126</v>
      </c>
      <c r="F117" s="9">
        <v>0.11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2.4E-2</v>
      </c>
      <c r="D119" s="9">
        <v>4.1000000000000002E-2</v>
      </c>
      <c r="E119" s="9">
        <v>0.126</v>
      </c>
      <c r="F119" s="9">
        <v>0.11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164</v>
      </c>
      <c r="B134" s="7">
        <v>61450</v>
      </c>
      <c r="C134" s="7">
        <v>0</v>
      </c>
      <c r="D134" s="7">
        <v>0</v>
      </c>
      <c r="E134" s="7">
        <v>0</v>
      </c>
      <c r="F134" s="7">
        <v>1665</v>
      </c>
      <c r="G134" s="7">
        <v>33319</v>
      </c>
      <c r="H134" s="7">
        <v>0</v>
      </c>
      <c r="I134" s="7">
        <v>0</v>
      </c>
      <c r="J134" s="7">
        <v>0</v>
      </c>
      <c r="K134" s="7" t="s">
        <v>70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70</v>
      </c>
      <c r="X134" s="7">
        <v>92067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1665</v>
      </c>
      <c r="G137" s="9">
        <v>33319</v>
      </c>
      <c r="H137" s="9">
        <v>0</v>
      </c>
      <c r="I137" s="9">
        <v>0</v>
      </c>
      <c r="J137" s="9">
        <v>0</v>
      </c>
      <c r="K137" s="9" t="s">
        <v>70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70</v>
      </c>
      <c r="X137" s="9">
        <v>92067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6771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6771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1670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1670</v>
      </c>
      <c r="X141" s="9">
        <v>1670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6771</v>
      </c>
      <c r="H142" s="7">
        <v>0</v>
      </c>
      <c r="I142" s="7">
        <v>0</v>
      </c>
      <c r="J142" s="7">
        <v>0</v>
      </c>
      <c r="K142" s="7">
        <v>1670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1670</v>
      </c>
      <c r="X142" s="7">
        <v>8441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322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322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72</v>
      </c>
      <c r="G155" s="9" t="s">
        <v>323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72</v>
      </c>
      <c r="G156" s="7">
        <v>5029</v>
      </c>
      <c r="H156" s="7">
        <v>0</v>
      </c>
      <c r="I156" s="7">
        <v>0</v>
      </c>
      <c r="J156" s="7">
        <v>0</v>
      </c>
      <c r="K156" s="7">
        <v>1670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1670</v>
      </c>
      <c r="X156" s="7">
        <v>6771</v>
      </c>
    </row>
    <row r="157" spans="1:24" x14ac:dyDescent="0.25">
      <c r="A157" s="8" t="s">
        <v>461</v>
      </c>
      <c r="B157" s="9">
        <v>61450</v>
      </c>
      <c r="C157" s="9">
        <v>0</v>
      </c>
      <c r="D157" s="9">
        <v>0</v>
      </c>
      <c r="E157" s="9">
        <v>0</v>
      </c>
      <c r="F157" s="9">
        <v>1737</v>
      </c>
      <c r="G157" s="9">
        <v>38348</v>
      </c>
      <c r="H157" s="9">
        <v>0</v>
      </c>
      <c r="I157" s="9">
        <v>0</v>
      </c>
      <c r="J157" s="9">
        <v>0</v>
      </c>
      <c r="K157" s="9" t="s">
        <v>507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507</v>
      </c>
      <c r="X157" s="9">
        <v>98838</v>
      </c>
    </row>
    <row r="158" spans="1:24" x14ac:dyDescent="0.25">
      <c r="A158" s="6" t="s">
        <v>571</v>
      </c>
      <c r="B158" s="7">
        <v>61450</v>
      </c>
      <c r="C158" s="7">
        <v>0</v>
      </c>
      <c r="D158" s="7">
        <v>0</v>
      </c>
      <c r="E158" s="7">
        <v>0</v>
      </c>
      <c r="F158" s="7">
        <v>1737</v>
      </c>
      <c r="G158" s="7">
        <v>38348</v>
      </c>
      <c r="H158" s="7">
        <v>0</v>
      </c>
      <c r="I158" s="7">
        <v>0</v>
      </c>
      <c r="J158" s="7">
        <v>0</v>
      </c>
      <c r="K158" s="7" t="s">
        <v>507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507</v>
      </c>
      <c r="X158" s="7">
        <v>98838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1737</v>
      </c>
      <c r="G161" s="9">
        <v>38348</v>
      </c>
      <c r="H161" s="9">
        <v>0</v>
      </c>
      <c r="I161" s="9">
        <v>0</v>
      </c>
      <c r="J161" s="9">
        <v>0</v>
      </c>
      <c r="K161" s="9" t="s">
        <v>507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507</v>
      </c>
      <c r="X161" s="9">
        <v>98838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7769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7769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1322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1322</v>
      </c>
      <c r="X165" s="9">
        <v>1322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7769</v>
      </c>
      <c r="H166" s="7">
        <v>0</v>
      </c>
      <c r="I166" s="7">
        <v>0</v>
      </c>
      <c r="J166" s="7">
        <v>0</v>
      </c>
      <c r="K166" s="7">
        <v>1322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1322</v>
      </c>
      <c r="X166" s="7">
        <v>9091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688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688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677</v>
      </c>
      <c r="G179" s="9" t="s">
        <v>718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677</v>
      </c>
      <c r="G180" s="7">
        <v>3848</v>
      </c>
      <c r="H180" s="7">
        <v>0</v>
      </c>
      <c r="I180" s="7">
        <v>0</v>
      </c>
      <c r="J180" s="7">
        <v>0</v>
      </c>
      <c r="K180" s="7">
        <v>1322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1322</v>
      </c>
      <c r="X180" s="7">
        <v>5847</v>
      </c>
    </row>
    <row r="181" spans="1:24" x14ac:dyDescent="0.25">
      <c r="A181" s="8" t="s">
        <v>757</v>
      </c>
      <c r="B181" s="9">
        <v>61450</v>
      </c>
      <c r="C181" s="9">
        <v>0</v>
      </c>
      <c r="D181" s="9">
        <v>0</v>
      </c>
      <c r="E181" s="9">
        <v>0</v>
      </c>
      <c r="F181" s="9">
        <v>2414</v>
      </c>
      <c r="G181" s="9">
        <v>42196</v>
      </c>
      <c r="H181" s="9">
        <v>0</v>
      </c>
      <c r="I181" s="9">
        <v>0</v>
      </c>
      <c r="J181" s="9">
        <v>0</v>
      </c>
      <c r="K181" s="9" t="s">
        <v>730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730</v>
      </c>
      <c r="X181" s="9">
        <v>104685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758</v>
      </c>
      <c r="D185" s="3" t="s">
        <v>462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157333</v>
      </c>
      <c r="D188" s="7">
        <v>149665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759</v>
      </c>
      <c r="D194" s="7" t="s">
        <v>760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761</v>
      </c>
      <c r="D196" s="7" t="s">
        <v>762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763</v>
      </c>
      <c r="D198" s="7" t="s">
        <v>764</v>
      </c>
    </row>
    <row r="199" spans="1:4" x14ac:dyDescent="0.25">
      <c r="A199" s="8" t="s">
        <v>591</v>
      </c>
      <c r="B199" s="9">
        <v>0</v>
      </c>
      <c r="C199" s="9">
        <v>25728</v>
      </c>
      <c r="D199" s="9">
        <v>32815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 t="s">
        <v>765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25728</v>
      </c>
      <c r="D206" s="5">
        <v>31484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12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766</v>
      </c>
      <c r="D229" s="9" t="s">
        <v>767</v>
      </c>
    </row>
    <row r="230" spans="1:4" x14ac:dyDescent="0.25">
      <c r="A230" s="6" t="s">
        <v>224</v>
      </c>
      <c r="B230" s="7">
        <v>0</v>
      </c>
      <c r="C230" s="7" t="s">
        <v>768</v>
      </c>
      <c r="D230" s="7" t="s">
        <v>769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770</v>
      </c>
      <c r="D234" s="5" t="s">
        <v>771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152813</v>
      </c>
      <c r="D237" s="9">
        <v>12534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772</v>
      </c>
      <c r="D244" s="7" t="s">
        <v>773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774</v>
      </c>
      <c r="D250" s="7" t="s">
        <v>775</v>
      </c>
    </row>
    <row r="251" spans="1:4" x14ac:dyDescent="0.25">
      <c r="A251" s="8" t="s">
        <v>629</v>
      </c>
      <c r="B251" s="9">
        <v>0</v>
      </c>
      <c r="C251" s="9">
        <v>0</v>
      </c>
      <c r="D251" s="9" t="s">
        <v>776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23187</v>
      </c>
      <c r="D254" s="5" t="s">
        <v>777</v>
      </c>
    </row>
    <row r="255" spans="1:4" x14ac:dyDescent="0.25">
      <c r="A255" s="8" t="s">
        <v>250</v>
      </c>
      <c r="B255" s="9">
        <v>0</v>
      </c>
      <c r="C255" s="9">
        <v>12219</v>
      </c>
      <c r="D255" s="9" t="s">
        <v>778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>
        <v>12219</v>
      </c>
      <c r="D257" s="9" t="s">
        <v>778</v>
      </c>
    </row>
    <row r="258" spans="1:6" x14ac:dyDescent="0.25">
      <c r="A258" s="6" t="s">
        <v>255</v>
      </c>
      <c r="B258" s="7">
        <v>3</v>
      </c>
      <c r="C258" s="7">
        <v>2358</v>
      </c>
      <c r="D258" s="7">
        <v>19673</v>
      </c>
    </row>
    <row r="259" spans="1:6" x14ac:dyDescent="0.25">
      <c r="A259" s="4" t="s">
        <v>256</v>
      </c>
      <c r="B259" s="5">
        <v>3</v>
      </c>
      <c r="C259" s="5">
        <v>14577</v>
      </c>
      <c r="D259" s="5">
        <v>2358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731</v>
      </c>
      <c r="D263" s="3" t="s">
        <v>424</v>
      </c>
      <c r="E263" s="3" t="s">
        <v>732</v>
      </c>
      <c r="F263" s="3" t="s">
        <v>426</v>
      </c>
    </row>
    <row r="264" spans="1:6" x14ac:dyDescent="0.25">
      <c r="A264" s="6" t="s">
        <v>258</v>
      </c>
      <c r="B264" s="7">
        <v>0</v>
      </c>
      <c r="C264" s="7">
        <v>1448</v>
      </c>
      <c r="D264" s="7">
        <v>2501</v>
      </c>
      <c r="E264" s="7">
        <v>7769</v>
      </c>
      <c r="F264" s="7">
        <v>6771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268</v>
      </c>
      <c r="D269" s="9">
        <v>513</v>
      </c>
      <c r="E269" s="9">
        <v>1322</v>
      </c>
      <c r="F269" s="9">
        <v>1670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268</v>
      </c>
      <c r="D272" s="7">
        <v>513</v>
      </c>
      <c r="E272" s="7">
        <v>1322</v>
      </c>
      <c r="F272" s="7">
        <v>1670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268</v>
      </c>
      <c r="D303" s="5">
        <v>513</v>
      </c>
      <c r="E303" s="5">
        <v>1322</v>
      </c>
      <c r="F303" s="5">
        <v>1670</v>
      </c>
    </row>
    <row r="304" spans="1:6" x14ac:dyDescent="0.25">
      <c r="A304" s="4" t="s">
        <v>671</v>
      </c>
      <c r="B304" s="5">
        <v>0</v>
      </c>
      <c r="C304" s="5">
        <v>1716</v>
      </c>
      <c r="D304" s="5">
        <v>3014</v>
      </c>
      <c r="E304" s="5">
        <v>9091</v>
      </c>
      <c r="F304" s="5">
        <v>8441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43146.614710648202</v>
      </c>
    </row>
    <row r="311" spans="1:2" x14ac:dyDescent="0.25">
      <c r="A311" s="8" t="s">
        <v>277</v>
      </c>
      <c r="B311" s="10">
        <v>43146.611712963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43146.611886574101</v>
      </c>
    </row>
    <row r="314" spans="1:2" x14ac:dyDescent="0.25">
      <c r="A314" s="6" t="s">
        <v>276</v>
      </c>
      <c r="B314" s="11">
        <v>43146.615011574097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43146.615185185197</v>
      </c>
    </row>
    <row r="317" spans="1:2" x14ac:dyDescent="0.25">
      <c r="A317" s="8" t="s">
        <v>277</v>
      </c>
      <c r="B317" s="10">
        <v>43146.6120717593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43146.612233796302</v>
      </c>
    </row>
    <row r="320" spans="1:2" x14ac:dyDescent="0.25">
      <c r="A320" s="6" t="s">
        <v>276</v>
      </c>
      <c r="B320" s="11">
        <v>43146.615462962996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8B48-E914-49B6-97E1-1DB42D5E177C}">
  <dimension ref="A1:X320"/>
  <sheetViews>
    <sheetView topLeftCell="A235" workbookViewId="0">
      <selection activeCell="C259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5.5703125" customWidth="1"/>
    <col min="5" max="6" width="46.8554687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779</v>
      </c>
    </row>
    <row r="3" spans="1:4" x14ac:dyDescent="0.25">
      <c r="A3" t="s">
        <v>780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781</v>
      </c>
      <c r="D9" s="3" t="s">
        <v>729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2462</v>
      </c>
      <c r="D12" s="7">
        <v>14624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18079</v>
      </c>
      <c r="D14" s="7">
        <v>20856</v>
      </c>
    </row>
    <row r="15" spans="1:4" x14ac:dyDescent="0.25">
      <c r="A15" s="8" t="s">
        <v>31</v>
      </c>
      <c r="B15" s="9">
        <v>4</v>
      </c>
      <c r="C15" s="9">
        <v>9397</v>
      </c>
      <c r="D15" s="9">
        <v>10534</v>
      </c>
    </row>
    <row r="16" spans="1:4" x14ac:dyDescent="0.25">
      <c r="A16" s="6" t="s">
        <v>18</v>
      </c>
      <c r="B16" s="7">
        <v>0</v>
      </c>
      <c r="C16" s="7">
        <v>1873</v>
      </c>
      <c r="D16" s="7">
        <v>2159</v>
      </c>
    </row>
    <row r="17" spans="1:4" x14ac:dyDescent="0.25">
      <c r="A17" s="8" t="s">
        <v>32</v>
      </c>
      <c r="B17" s="9">
        <v>0</v>
      </c>
      <c r="C17" s="9">
        <v>6809</v>
      </c>
      <c r="D17" s="9">
        <v>8163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1791</v>
      </c>
      <c r="D19" s="9">
        <v>1878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5034</v>
      </c>
      <c r="D22" s="7">
        <v>3901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27366</v>
      </c>
      <c r="D24" s="7">
        <v>41259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27366</v>
      </c>
      <c r="D26" s="5">
        <v>41259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10131</v>
      </c>
      <c r="D30" s="7">
        <v>8859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5077</v>
      </c>
      <c r="D32" s="7">
        <v>3806</v>
      </c>
    </row>
    <row r="33" spans="1:4" x14ac:dyDescent="0.25">
      <c r="A33" s="8" t="s">
        <v>32</v>
      </c>
      <c r="B33" s="9">
        <v>0</v>
      </c>
      <c r="C33" s="9">
        <v>5054</v>
      </c>
      <c r="D33" s="9">
        <v>5053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200203</v>
      </c>
      <c r="D38" s="7">
        <v>194778</v>
      </c>
    </row>
    <row r="39" spans="1:4" x14ac:dyDescent="0.25">
      <c r="A39" s="8" t="s">
        <v>497</v>
      </c>
      <c r="B39" s="9">
        <v>8</v>
      </c>
      <c r="C39" s="9">
        <v>15160</v>
      </c>
      <c r="D39" s="9">
        <v>15878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238300</v>
      </c>
      <c r="D45" s="5">
        <v>232321</v>
      </c>
    </row>
    <row r="46" spans="1:4" x14ac:dyDescent="0.25">
      <c r="A46" s="4" t="s">
        <v>39</v>
      </c>
      <c r="B46" s="5">
        <v>0</v>
      </c>
      <c r="C46" s="5">
        <v>265666</v>
      </c>
      <c r="D46" s="5">
        <v>273580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16893</v>
      </c>
      <c r="D49" s="9">
        <v>17862</v>
      </c>
    </row>
    <row r="50" spans="1:4" x14ac:dyDescent="0.25">
      <c r="A50" s="6" t="s">
        <v>501</v>
      </c>
      <c r="B50" s="7">
        <v>0</v>
      </c>
      <c r="C50" s="7">
        <v>37636</v>
      </c>
      <c r="D50" s="7">
        <v>28496</v>
      </c>
    </row>
    <row r="51" spans="1:4" x14ac:dyDescent="0.25">
      <c r="A51" s="8" t="s">
        <v>44</v>
      </c>
      <c r="B51" s="9">
        <v>10</v>
      </c>
      <c r="C51" s="9">
        <v>20438</v>
      </c>
      <c r="D51" s="9">
        <v>19836</v>
      </c>
    </row>
    <row r="52" spans="1:4" x14ac:dyDescent="0.25">
      <c r="A52" s="6" t="s">
        <v>46</v>
      </c>
      <c r="B52" s="7">
        <v>0</v>
      </c>
      <c r="C52" s="7">
        <v>0</v>
      </c>
      <c r="D52" s="7">
        <v>0</v>
      </c>
    </row>
    <row r="53" spans="1:4" x14ac:dyDescent="0.25">
      <c r="A53" s="8" t="s">
        <v>45</v>
      </c>
      <c r="B53" s="9">
        <v>11</v>
      </c>
      <c r="C53" s="9">
        <v>17198</v>
      </c>
      <c r="D53" s="9">
        <v>8660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54529</v>
      </c>
      <c r="D59" s="9">
        <v>46358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54529</v>
      </c>
      <c r="D61" s="5">
        <v>46358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95839</v>
      </c>
      <c r="D63" s="9">
        <v>99879</v>
      </c>
    </row>
    <row r="64" spans="1:4" x14ac:dyDescent="0.25">
      <c r="A64" s="6" t="s">
        <v>501</v>
      </c>
      <c r="B64" s="7">
        <v>0</v>
      </c>
      <c r="C64" s="7">
        <v>11657</v>
      </c>
      <c r="D64" s="7">
        <v>12879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880</v>
      </c>
      <c r="D66" s="7">
        <v>880</v>
      </c>
    </row>
    <row r="67" spans="1:4" x14ac:dyDescent="0.25">
      <c r="A67" s="8" t="s">
        <v>45</v>
      </c>
      <c r="B67" s="9">
        <v>11</v>
      </c>
      <c r="C67" s="9">
        <v>10777</v>
      </c>
      <c r="D67" s="9">
        <v>11999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12</v>
      </c>
      <c r="C71" s="9">
        <v>12359</v>
      </c>
      <c r="D71" s="9">
        <v>12267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119855</v>
      </c>
      <c r="D74" s="5">
        <v>125025</v>
      </c>
    </row>
    <row r="75" spans="1:4" x14ac:dyDescent="0.25">
      <c r="A75" s="4" t="s">
        <v>60</v>
      </c>
      <c r="B75" s="5">
        <v>0</v>
      </c>
      <c r="C75" s="5">
        <v>174384</v>
      </c>
      <c r="D75" s="5">
        <v>171383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13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2955</v>
      </c>
      <c r="D81" s="9">
        <v>2414</v>
      </c>
    </row>
    <row r="82" spans="1:6" x14ac:dyDescent="0.25">
      <c r="A82" s="6" t="s">
        <v>67</v>
      </c>
      <c r="B82" s="7">
        <v>0</v>
      </c>
      <c r="C82" s="7">
        <v>28032</v>
      </c>
      <c r="D82" s="7">
        <v>39708</v>
      </c>
    </row>
    <row r="83" spans="1:6" x14ac:dyDescent="0.25">
      <c r="A83" s="8" t="s">
        <v>68</v>
      </c>
      <c r="B83" s="9">
        <v>0</v>
      </c>
      <c r="C83" s="9" t="s">
        <v>782</v>
      </c>
      <c r="D83" s="9" t="s">
        <v>730</v>
      </c>
    </row>
    <row r="84" spans="1:6" x14ac:dyDescent="0.25">
      <c r="A84" s="4" t="s">
        <v>71</v>
      </c>
      <c r="B84" s="5">
        <v>0</v>
      </c>
      <c r="C84" s="5">
        <v>91282</v>
      </c>
      <c r="D84" s="5">
        <v>102197</v>
      </c>
    </row>
    <row r="85" spans="1:6" x14ac:dyDescent="0.25">
      <c r="A85" s="4" t="s">
        <v>72</v>
      </c>
      <c r="B85" s="5">
        <v>0</v>
      </c>
      <c r="C85" s="5">
        <v>265666</v>
      </c>
      <c r="D85" s="5">
        <v>273580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783</v>
      </c>
      <c r="D89" s="3" t="s">
        <v>508</v>
      </c>
      <c r="E89" s="3" t="s">
        <v>784</v>
      </c>
      <c r="F89" s="3" t="s">
        <v>509</v>
      </c>
    </row>
    <row r="90" spans="1:6" x14ac:dyDescent="0.25">
      <c r="A90" s="4" t="s">
        <v>510</v>
      </c>
      <c r="B90" s="5">
        <v>0</v>
      </c>
      <c r="C90" s="5">
        <v>34394</v>
      </c>
      <c r="D90" s="5">
        <v>30699</v>
      </c>
      <c r="E90" s="5">
        <v>34394</v>
      </c>
      <c r="F90" s="5">
        <v>30699</v>
      </c>
    </row>
    <row r="91" spans="1:6" x14ac:dyDescent="0.25">
      <c r="A91" s="8" t="s">
        <v>79</v>
      </c>
      <c r="B91" s="9">
        <v>15</v>
      </c>
      <c r="C91" s="9" t="s">
        <v>785</v>
      </c>
      <c r="D91" s="9" t="s">
        <v>786</v>
      </c>
      <c r="E91" s="9" t="s">
        <v>785</v>
      </c>
      <c r="F91" s="9" t="s">
        <v>786</v>
      </c>
    </row>
    <row r="92" spans="1:6" x14ac:dyDescent="0.25">
      <c r="A92" s="4" t="s">
        <v>82</v>
      </c>
      <c r="B92" s="5">
        <v>0</v>
      </c>
      <c r="C92" s="5">
        <v>10043</v>
      </c>
      <c r="D92" s="5">
        <v>8512</v>
      </c>
      <c r="E92" s="5">
        <v>10043</v>
      </c>
      <c r="F92" s="5">
        <v>8512</v>
      </c>
    </row>
    <row r="93" spans="1:6" x14ac:dyDescent="0.25">
      <c r="A93" s="8" t="s">
        <v>83</v>
      </c>
      <c r="B93" s="9">
        <v>17</v>
      </c>
      <c r="C93" s="9" t="s">
        <v>787</v>
      </c>
      <c r="D93" s="9" t="s">
        <v>512</v>
      </c>
      <c r="E93" s="9" t="s">
        <v>787</v>
      </c>
      <c r="F93" s="9" t="s">
        <v>512</v>
      </c>
    </row>
    <row r="94" spans="1:6" x14ac:dyDescent="0.25">
      <c r="A94" s="6" t="s">
        <v>86</v>
      </c>
      <c r="B94" s="7">
        <v>16</v>
      </c>
      <c r="C94" s="7" t="s">
        <v>788</v>
      </c>
      <c r="D94" s="7" t="s">
        <v>789</v>
      </c>
      <c r="E94" s="7" t="s">
        <v>788</v>
      </c>
      <c r="F94" s="7" t="s">
        <v>789</v>
      </c>
    </row>
    <row r="95" spans="1:6" x14ac:dyDescent="0.25">
      <c r="A95" s="8" t="s">
        <v>90</v>
      </c>
      <c r="B95" s="9">
        <v>0</v>
      </c>
      <c r="C95" s="9">
        <v>125</v>
      </c>
      <c r="D95" s="9">
        <v>222</v>
      </c>
      <c r="E95" s="9">
        <v>125</v>
      </c>
      <c r="F95" s="9">
        <v>222</v>
      </c>
    </row>
    <row r="96" spans="1:6" x14ac:dyDescent="0.25">
      <c r="A96" s="6" t="s">
        <v>91</v>
      </c>
      <c r="B96" s="7">
        <v>0</v>
      </c>
      <c r="C96" s="7" t="s">
        <v>790</v>
      </c>
      <c r="D96" s="7" t="s">
        <v>514</v>
      </c>
      <c r="E96" s="7" t="s">
        <v>790</v>
      </c>
      <c r="F96" s="7" t="s">
        <v>514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791</v>
      </c>
      <c r="D98" s="5" t="s">
        <v>792</v>
      </c>
      <c r="E98" s="5" t="s">
        <v>791</v>
      </c>
      <c r="F98" s="5" t="s">
        <v>792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136</v>
      </c>
      <c r="D100" s="7">
        <v>93</v>
      </c>
      <c r="E100" s="7">
        <v>136</v>
      </c>
      <c r="F100" s="7">
        <v>93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793</v>
      </c>
      <c r="D102" s="7" t="s">
        <v>520</v>
      </c>
      <c r="E102" s="7" t="s">
        <v>793</v>
      </c>
      <c r="F102" s="7" t="s">
        <v>520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>
        <v>268</v>
      </c>
      <c r="D105" s="9">
        <v>2583</v>
      </c>
      <c r="E105" s="9">
        <v>268</v>
      </c>
      <c r="F105" s="9">
        <v>2583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794</v>
      </c>
      <c r="D110" s="5" t="s">
        <v>795</v>
      </c>
      <c r="E110" s="5" t="s">
        <v>794</v>
      </c>
      <c r="F110" s="5" t="s">
        <v>795</v>
      </c>
    </row>
    <row r="111" spans="1:6" x14ac:dyDescent="0.25">
      <c r="A111" s="8" t="s">
        <v>530</v>
      </c>
      <c r="B111" s="9">
        <v>0</v>
      </c>
      <c r="C111" s="9" t="s">
        <v>796</v>
      </c>
      <c r="D111" s="9">
        <v>0</v>
      </c>
      <c r="E111" s="9" t="s">
        <v>796</v>
      </c>
      <c r="F111" s="9">
        <v>0</v>
      </c>
    </row>
    <row r="112" spans="1:6" x14ac:dyDescent="0.25">
      <c r="A112" s="6" t="s">
        <v>531</v>
      </c>
      <c r="B112" s="7">
        <v>0</v>
      </c>
      <c r="C112" s="7" t="s">
        <v>797</v>
      </c>
      <c r="D112" s="7" t="s">
        <v>795</v>
      </c>
      <c r="E112" s="7" t="s">
        <v>797</v>
      </c>
      <c r="F112" s="7" t="s">
        <v>795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797</v>
      </c>
      <c r="D114" s="5" t="s">
        <v>795</v>
      </c>
      <c r="E114" s="5" t="s">
        <v>797</v>
      </c>
      <c r="F114" s="5" t="s">
        <v>795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798</v>
      </c>
      <c r="D117" s="9" t="s">
        <v>799</v>
      </c>
      <c r="E117" s="9" t="s">
        <v>798</v>
      </c>
      <c r="F117" s="9" t="s">
        <v>799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798</v>
      </c>
      <c r="D119" s="9" t="s">
        <v>799</v>
      </c>
      <c r="E119" s="9" t="s">
        <v>798</v>
      </c>
      <c r="F119" s="9" t="s">
        <v>799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571</v>
      </c>
      <c r="B134" s="7">
        <v>61450</v>
      </c>
      <c r="C134" s="7">
        <v>0</v>
      </c>
      <c r="D134" s="7">
        <v>0</v>
      </c>
      <c r="E134" s="7">
        <v>0</v>
      </c>
      <c r="F134" s="7">
        <v>1737</v>
      </c>
      <c r="G134" s="7">
        <v>38348</v>
      </c>
      <c r="H134" s="7">
        <v>0</v>
      </c>
      <c r="I134" s="7">
        <v>0</v>
      </c>
      <c r="J134" s="7">
        <v>0</v>
      </c>
      <c r="K134" s="7" t="s">
        <v>507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507</v>
      </c>
      <c r="X134" s="7">
        <v>98838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1737</v>
      </c>
      <c r="G137" s="9">
        <v>38348</v>
      </c>
      <c r="H137" s="9">
        <v>0</v>
      </c>
      <c r="I137" s="9">
        <v>0</v>
      </c>
      <c r="J137" s="9">
        <v>0</v>
      </c>
      <c r="K137" s="9" t="s">
        <v>507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507</v>
      </c>
      <c r="X137" s="9">
        <v>98838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795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795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592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592</v>
      </c>
      <c r="X141" s="9">
        <v>592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795</v>
      </c>
      <c r="H142" s="7">
        <v>0</v>
      </c>
      <c r="I142" s="7">
        <v>0</v>
      </c>
      <c r="J142" s="7">
        <v>0</v>
      </c>
      <c r="K142" s="7">
        <v>592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592</v>
      </c>
      <c r="X142" s="7" t="s">
        <v>800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573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573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801</v>
      </c>
      <c r="H156" s="7">
        <v>0</v>
      </c>
      <c r="I156" s="7">
        <v>0</v>
      </c>
      <c r="J156" s="7">
        <v>0</v>
      </c>
      <c r="K156" s="7">
        <v>592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592</v>
      </c>
      <c r="X156" s="7" t="s">
        <v>802</v>
      </c>
    </row>
    <row r="157" spans="1:24" x14ac:dyDescent="0.25">
      <c r="A157" s="8" t="s">
        <v>576</v>
      </c>
      <c r="B157" s="9">
        <v>61450</v>
      </c>
      <c r="C157" s="9">
        <v>0</v>
      </c>
      <c r="D157" s="9">
        <v>0</v>
      </c>
      <c r="E157" s="9">
        <v>0</v>
      </c>
      <c r="F157" s="9">
        <v>1737</v>
      </c>
      <c r="G157" s="9">
        <v>33115</v>
      </c>
      <c r="H157" s="9">
        <v>0</v>
      </c>
      <c r="I157" s="9">
        <v>0</v>
      </c>
      <c r="J157" s="9">
        <v>0</v>
      </c>
      <c r="K157" s="9" t="s">
        <v>377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377</v>
      </c>
      <c r="X157" s="9">
        <v>94197</v>
      </c>
    </row>
    <row r="158" spans="1:24" x14ac:dyDescent="0.25">
      <c r="A158" s="6" t="s">
        <v>803</v>
      </c>
      <c r="B158" s="7">
        <v>61450</v>
      </c>
      <c r="C158" s="7">
        <v>0</v>
      </c>
      <c r="D158" s="7">
        <v>0</v>
      </c>
      <c r="E158" s="7">
        <v>0</v>
      </c>
      <c r="F158" s="7">
        <v>2414</v>
      </c>
      <c r="G158" s="7">
        <v>39708</v>
      </c>
      <c r="H158" s="7">
        <v>0</v>
      </c>
      <c r="I158" s="7">
        <v>0</v>
      </c>
      <c r="J158" s="7">
        <v>0</v>
      </c>
      <c r="K158" s="7" t="s">
        <v>730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730</v>
      </c>
      <c r="X158" s="7">
        <v>102197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2414</v>
      </c>
      <c r="G161" s="9">
        <v>39708</v>
      </c>
      <c r="H161" s="9">
        <v>0</v>
      </c>
      <c r="I161" s="9">
        <v>0</v>
      </c>
      <c r="J161" s="9">
        <v>0</v>
      </c>
      <c r="K161" s="9" t="s">
        <v>730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730</v>
      </c>
      <c r="X161" s="9">
        <v>102197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797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797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220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220</v>
      </c>
      <c r="X165" s="9">
        <v>220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797</v>
      </c>
      <c r="H166" s="7">
        <v>0</v>
      </c>
      <c r="I166" s="7">
        <v>0</v>
      </c>
      <c r="J166" s="7">
        <v>0</v>
      </c>
      <c r="K166" s="7">
        <v>220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220</v>
      </c>
      <c r="X166" s="7" t="s">
        <v>804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805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805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541</v>
      </c>
      <c r="G179" s="9" t="s">
        <v>806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541</v>
      </c>
      <c r="G180" s="7" t="s">
        <v>807</v>
      </c>
      <c r="H180" s="7">
        <v>0</v>
      </c>
      <c r="I180" s="7">
        <v>0</v>
      </c>
      <c r="J180" s="7">
        <v>0</v>
      </c>
      <c r="K180" s="7">
        <v>220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220</v>
      </c>
      <c r="X180" s="7" t="s">
        <v>808</v>
      </c>
    </row>
    <row r="181" spans="1:24" x14ac:dyDescent="0.25">
      <c r="A181" s="8" t="s">
        <v>809</v>
      </c>
      <c r="B181" s="9">
        <v>61450</v>
      </c>
      <c r="C181" s="9">
        <v>0</v>
      </c>
      <c r="D181" s="9">
        <v>0</v>
      </c>
      <c r="E181" s="9">
        <v>0</v>
      </c>
      <c r="F181" s="9">
        <v>2955</v>
      </c>
      <c r="G181" s="9">
        <v>28032</v>
      </c>
      <c r="H181" s="9">
        <v>0</v>
      </c>
      <c r="I181" s="9">
        <v>0</v>
      </c>
      <c r="J181" s="9">
        <v>0</v>
      </c>
      <c r="K181" s="9" t="s">
        <v>782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782</v>
      </c>
      <c r="X181" s="9">
        <v>91282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810</v>
      </c>
      <c r="D185" s="3" t="s">
        <v>577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40738</v>
      </c>
      <c r="D188" s="7">
        <v>31086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811</v>
      </c>
      <c r="D194" s="7" t="s">
        <v>585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812</v>
      </c>
      <c r="D196" s="7" t="s">
        <v>587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813</v>
      </c>
      <c r="D198" s="7" t="s">
        <v>590</v>
      </c>
    </row>
    <row r="199" spans="1:4" x14ac:dyDescent="0.25">
      <c r="A199" s="8" t="s">
        <v>591</v>
      </c>
      <c r="B199" s="9">
        <v>0</v>
      </c>
      <c r="C199" s="9">
        <v>5621</v>
      </c>
      <c r="D199" s="9" t="s">
        <v>592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5621</v>
      </c>
      <c r="D206" s="5" t="s">
        <v>592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 t="s">
        <v>100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814</v>
      </c>
      <c r="D229" s="9" t="s">
        <v>615</v>
      </c>
    </row>
    <row r="230" spans="1:4" x14ac:dyDescent="0.25">
      <c r="A230" s="6" t="s">
        <v>224</v>
      </c>
      <c r="B230" s="7">
        <v>0</v>
      </c>
      <c r="C230" s="7" t="s">
        <v>815</v>
      </c>
      <c r="D230" s="7">
        <v>0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816</v>
      </c>
      <c r="D234" s="5" t="s">
        <v>615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4877</v>
      </c>
      <c r="D237" s="9">
        <v>24499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817</v>
      </c>
      <c r="D244" s="7" t="s">
        <v>626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818</v>
      </c>
      <c r="D250" s="7" t="s">
        <v>628</v>
      </c>
    </row>
    <row r="251" spans="1:4" x14ac:dyDescent="0.25">
      <c r="A251" s="8" t="s">
        <v>629</v>
      </c>
      <c r="B251" s="9">
        <v>0</v>
      </c>
      <c r="C251" s="9">
        <v>0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819</v>
      </c>
      <c r="D254" s="5">
        <v>9026</v>
      </c>
    </row>
    <row r="255" spans="1:4" x14ac:dyDescent="0.25">
      <c r="A255" s="8" t="s">
        <v>250</v>
      </c>
      <c r="B255" s="9">
        <v>0</v>
      </c>
      <c r="C255" s="9" t="s">
        <v>820</v>
      </c>
      <c r="D255" s="9">
        <v>1393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820</v>
      </c>
      <c r="D257" s="9">
        <v>1393</v>
      </c>
    </row>
    <row r="258" spans="1:6" x14ac:dyDescent="0.25">
      <c r="A258" s="6" t="s">
        <v>255</v>
      </c>
      <c r="B258" s="7">
        <v>3</v>
      </c>
      <c r="C258" s="7">
        <v>14624</v>
      </c>
      <c r="D258" s="7">
        <v>2358</v>
      </c>
    </row>
    <row r="259" spans="1:6" x14ac:dyDescent="0.25">
      <c r="A259" s="4" t="s">
        <v>256</v>
      </c>
      <c r="B259" s="5">
        <v>3</v>
      </c>
      <c r="C259" s="5">
        <v>2462</v>
      </c>
      <c r="D259" s="5">
        <v>3751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783</v>
      </c>
      <c r="D263" s="3" t="s">
        <v>508</v>
      </c>
      <c r="E263" s="3" t="s">
        <v>784</v>
      </c>
      <c r="F263" s="3" t="s">
        <v>509</v>
      </c>
    </row>
    <row r="264" spans="1:6" x14ac:dyDescent="0.25">
      <c r="A264" s="6" t="s">
        <v>258</v>
      </c>
      <c r="B264" s="7">
        <v>0</v>
      </c>
      <c r="C264" s="7" t="s">
        <v>797</v>
      </c>
      <c r="D264" s="7" t="s">
        <v>795</v>
      </c>
      <c r="E264" s="7" t="s">
        <v>797</v>
      </c>
      <c r="F264" s="7" t="s">
        <v>795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220</v>
      </c>
      <c r="D269" s="9">
        <v>592</v>
      </c>
      <c r="E269" s="9">
        <v>220</v>
      </c>
      <c r="F269" s="9">
        <v>592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220</v>
      </c>
      <c r="D272" s="7">
        <v>592</v>
      </c>
      <c r="E272" s="7">
        <v>220</v>
      </c>
      <c r="F272" s="7">
        <v>592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220</v>
      </c>
      <c r="D303" s="5">
        <v>592</v>
      </c>
      <c r="E303" s="5">
        <v>220</v>
      </c>
      <c r="F303" s="5">
        <v>592</v>
      </c>
    </row>
    <row r="304" spans="1:6" x14ac:dyDescent="0.25">
      <c r="A304" s="4" t="s">
        <v>671</v>
      </c>
      <c r="B304" s="5">
        <v>0</v>
      </c>
      <c r="C304" s="5" t="s">
        <v>804</v>
      </c>
      <c r="D304" s="5" t="s">
        <v>800</v>
      </c>
      <c r="E304" s="5" t="s">
        <v>804</v>
      </c>
      <c r="F304" s="5" t="s">
        <v>800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43220.8206712963</v>
      </c>
    </row>
    <row r="311" spans="1:2" x14ac:dyDescent="0.25">
      <c r="A311" s="8" t="s">
        <v>277</v>
      </c>
      <c r="B311" s="10">
        <v>43220.819340277798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43220.819525462997</v>
      </c>
    </row>
    <row r="314" spans="1:2" x14ac:dyDescent="0.25">
      <c r="A314" s="6" t="s">
        <v>276</v>
      </c>
      <c r="B314" s="11">
        <v>43220.821018518502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43220.8214351852</v>
      </c>
    </row>
    <row r="317" spans="1:2" x14ac:dyDescent="0.25">
      <c r="A317" s="8" t="s">
        <v>277</v>
      </c>
      <c r="B317" s="10">
        <v>43220.819664351897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43220.819780092599</v>
      </c>
    </row>
    <row r="320" spans="1:2" x14ac:dyDescent="0.25">
      <c r="A320" s="6" t="s">
        <v>276</v>
      </c>
      <c r="B320" s="11">
        <v>43220.821921296301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273D-DEBC-4C6E-A23C-D596A8AC6C8F}">
  <dimension ref="A1:X320"/>
  <sheetViews>
    <sheetView topLeftCell="A239" workbookViewId="0">
      <selection activeCell="C259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3.7109375" customWidth="1"/>
    <col min="5" max="6" width="46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821</v>
      </c>
    </row>
    <row r="3" spans="1:4" x14ac:dyDescent="0.25">
      <c r="A3" t="s">
        <v>780</v>
      </c>
    </row>
    <row r="4" spans="1:4" x14ac:dyDescent="0.25">
      <c r="A4" t="s">
        <v>282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822</v>
      </c>
      <c r="D9" s="3" t="s">
        <v>729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6432</v>
      </c>
      <c r="D12" s="7">
        <v>14624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20671</v>
      </c>
      <c r="D14" s="7">
        <v>20856</v>
      </c>
    </row>
    <row r="15" spans="1:4" x14ac:dyDescent="0.25">
      <c r="A15" s="8" t="s">
        <v>31</v>
      </c>
      <c r="B15" s="9">
        <v>4</v>
      </c>
      <c r="C15" s="9">
        <v>11359</v>
      </c>
      <c r="D15" s="9">
        <v>10534</v>
      </c>
    </row>
    <row r="16" spans="1:4" x14ac:dyDescent="0.25">
      <c r="A16" s="6" t="s">
        <v>18</v>
      </c>
      <c r="B16" s="7">
        <v>0</v>
      </c>
      <c r="C16" s="7">
        <v>1903</v>
      </c>
      <c r="D16" s="7">
        <v>2159</v>
      </c>
    </row>
    <row r="17" spans="1:4" x14ac:dyDescent="0.25">
      <c r="A17" s="8" t="s">
        <v>32</v>
      </c>
      <c r="B17" s="9">
        <v>0</v>
      </c>
      <c r="C17" s="9">
        <v>7409</v>
      </c>
      <c r="D17" s="9">
        <v>8163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2009</v>
      </c>
      <c r="D19" s="9">
        <v>1878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5118</v>
      </c>
      <c r="D22" s="7">
        <v>3901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34230</v>
      </c>
      <c r="D24" s="7">
        <v>41259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34230</v>
      </c>
      <c r="D26" s="5">
        <v>41259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11745</v>
      </c>
      <c r="D30" s="7">
        <v>8859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5745</v>
      </c>
      <c r="D32" s="7">
        <v>3806</v>
      </c>
    </row>
    <row r="33" spans="1:4" x14ac:dyDescent="0.25">
      <c r="A33" s="8" t="s">
        <v>32</v>
      </c>
      <c r="B33" s="9">
        <v>0</v>
      </c>
      <c r="C33" s="9">
        <v>6000</v>
      </c>
      <c r="D33" s="9">
        <v>5053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206790</v>
      </c>
      <c r="D38" s="7">
        <v>194778</v>
      </c>
    </row>
    <row r="39" spans="1:4" x14ac:dyDescent="0.25">
      <c r="A39" s="8" t="s">
        <v>497</v>
      </c>
      <c r="B39" s="9">
        <v>8</v>
      </c>
      <c r="C39" s="9">
        <v>14376</v>
      </c>
      <c r="D39" s="9">
        <v>15878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245717</v>
      </c>
      <c r="D45" s="5">
        <v>232321</v>
      </c>
    </row>
    <row r="46" spans="1:4" x14ac:dyDescent="0.25">
      <c r="A46" s="4" t="s">
        <v>39</v>
      </c>
      <c r="B46" s="5">
        <v>0</v>
      </c>
      <c r="C46" s="5">
        <v>279947</v>
      </c>
      <c r="D46" s="5">
        <v>273580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14226</v>
      </c>
      <c r="D49" s="9">
        <v>17862</v>
      </c>
    </row>
    <row r="50" spans="1:4" x14ac:dyDescent="0.25">
      <c r="A50" s="6" t="s">
        <v>501</v>
      </c>
      <c r="B50" s="7">
        <v>0</v>
      </c>
      <c r="C50" s="7">
        <v>38072</v>
      </c>
      <c r="D50" s="7">
        <v>28496</v>
      </c>
    </row>
    <row r="51" spans="1:4" x14ac:dyDescent="0.25">
      <c r="A51" s="8" t="s">
        <v>44</v>
      </c>
      <c r="B51" s="9">
        <v>10</v>
      </c>
      <c r="C51" s="9">
        <v>23718</v>
      </c>
      <c r="D51" s="9">
        <v>19836</v>
      </c>
    </row>
    <row r="52" spans="1:4" x14ac:dyDescent="0.25">
      <c r="A52" s="6" t="s">
        <v>46</v>
      </c>
      <c r="B52" s="7">
        <v>0</v>
      </c>
      <c r="C52" s="7">
        <v>880</v>
      </c>
      <c r="D52" s="7">
        <v>0</v>
      </c>
    </row>
    <row r="53" spans="1:4" x14ac:dyDescent="0.25">
      <c r="A53" s="8" t="s">
        <v>45</v>
      </c>
      <c r="B53" s="9">
        <v>11</v>
      </c>
      <c r="C53" s="9">
        <v>13474</v>
      </c>
      <c r="D53" s="9">
        <v>8660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52298</v>
      </c>
      <c r="D59" s="9">
        <v>46358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52298</v>
      </c>
      <c r="D61" s="5">
        <v>46358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116901</v>
      </c>
      <c r="D63" s="9">
        <v>99879</v>
      </c>
    </row>
    <row r="64" spans="1:4" x14ac:dyDescent="0.25">
      <c r="A64" s="6" t="s">
        <v>501</v>
      </c>
      <c r="B64" s="7">
        <v>0</v>
      </c>
      <c r="C64" s="7">
        <v>8594</v>
      </c>
      <c r="D64" s="7">
        <v>12879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0</v>
      </c>
      <c r="D66" s="7">
        <v>880</v>
      </c>
    </row>
    <row r="67" spans="1:4" x14ac:dyDescent="0.25">
      <c r="A67" s="8" t="s">
        <v>45</v>
      </c>
      <c r="B67" s="9">
        <v>11</v>
      </c>
      <c r="C67" s="9">
        <v>8594</v>
      </c>
      <c r="D67" s="9">
        <v>11999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12</v>
      </c>
      <c r="C71" s="9">
        <v>12396</v>
      </c>
      <c r="D71" s="9">
        <v>12267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137891</v>
      </c>
      <c r="D74" s="5">
        <v>125025</v>
      </c>
    </row>
    <row r="75" spans="1:4" x14ac:dyDescent="0.25">
      <c r="A75" s="4" t="s">
        <v>60</v>
      </c>
      <c r="B75" s="5">
        <v>0</v>
      </c>
      <c r="C75" s="5">
        <v>190189</v>
      </c>
      <c r="D75" s="5">
        <v>171383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13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2955</v>
      </c>
      <c r="D81" s="9">
        <v>2414</v>
      </c>
    </row>
    <row r="82" spans="1:6" x14ac:dyDescent="0.25">
      <c r="A82" s="6" t="s">
        <v>67</v>
      </c>
      <c r="B82" s="7">
        <v>0</v>
      </c>
      <c r="C82" s="7">
        <v>26419</v>
      </c>
      <c r="D82" s="7">
        <v>39708</v>
      </c>
    </row>
    <row r="83" spans="1:6" x14ac:dyDescent="0.25">
      <c r="A83" s="8" t="s">
        <v>68</v>
      </c>
      <c r="B83" s="9">
        <v>0</v>
      </c>
      <c r="C83" s="9" t="s">
        <v>823</v>
      </c>
      <c r="D83" s="9" t="s">
        <v>730</v>
      </c>
    </row>
    <row r="84" spans="1:6" x14ac:dyDescent="0.25">
      <c r="A84" s="4" t="s">
        <v>71</v>
      </c>
      <c r="B84" s="5">
        <v>0</v>
      </c>
      <c r="C84" s="5">
        <v>89758</v>
      </c>
      <c r="D84" s="5">
        <v>102197</v>
      </c>
    </row>
    <row r="85" spans="1:6" x14ac:dyDescent="0.25">
      <c r="A85" s="4" t="s">
        <v>72</v>
      </c>
      <c r="B85" s="5">
        <v>0</v>
      </c>
      <c r="C85" s="5">
        <v>279947</v>
      </c>
      <c r="D85" s="5">
        <v>273580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824</v>
      </c>
      <c r="D89" s="3" t="s">
        <v>675</v>
      </c>
      <c r="E89" s="3" t="s">
        <v>825</v>
      </c>
      <c r="F89" s="3" t="s">
        <v>676</v>
      </c>
    </row>
    <row r="90" spans="1:6" x14ac:dyDescent="0.25">
      <c r="A90" s="4" t="s">
        <v>510</v>
      </c>
      <c r="B90" s="5">
        <v>0</v>
      </c>
      <c r="C90" s="5">
        <v>41457</v>
      </c>
      <c r="D90" s="5">
        <v>40168</v>
      </c>
      <c r="E90" s="5">
        <v>76102</v>
      </c>
      <c r="F90" s="5">
        <v>70867</v>
      </c>
    </row>
    <row r="91" spans="1:6" x14ac:dyDescent="0.25">
      <c r="A91" s="8" t="s">
        <v>79</v>
      </c>
      <c r="B91" s="9">
        <v>15</v>
      </c>
      <c r="C91" s="9" t="s">
        <v>826</v>
      </c>
      <c r="D91" s="9" t="s">
        <v>827</v>
      </c>
      <c r="E91" s="9" t="s">
        <v>828</v>
      </c>
      <c r="F91" s="9" t="s">
        <v>829</v>
      </c>
    </row>
    <row r="92" spans="1:6" x14ac:dyDescent="0.25">
      <c r="A92" s="4" t="s">
        <v>82</v>
      </c>
      <c r="B92" s="5">
        <v>0</v>
      </c>
      <c r="C92" s="5">
        <v>13971</v>
      </c>
      <c r="D92" s="5">
        <v>16479</v>
      </c>
      <c r="E92" s="5">
        <v>24015</v>
      </c>
      <c r="F92" s="5">
        <v>24992</v>
      </c>
    </row>
    <row r="93" spans="1:6" x14ac:dyDescent="0.25">
      <c r="A93" s="8" t="s">
        <v>83</v>
      </c>
      <c r="B93" s="9">
        <v>17</v>
      </c>
      <c r="C93" s="9" t="s">
        <v>830</v>
      </c>
      <c r="D93" s="9" t="s">
        <v>433</v>
      </c>
      <c r="E93" s="9" t="s">
        <v>831</v>
      </c>
      <c r="F93" s="9" t="s">
        <v>679</v>
      </c>
    </row>
    <row r="94" spans="1:6" x14ac:dyDescent="0.25">
      <c r="A94" s="6" t="s">
        <v>86</v>
      </c>
      <c r="B94" s="7">
        <v>16</v>
      </c>
      <c r="C94" s="7" t="s">
        <v>832</v>
      </c>
      <c r="D94" s="7" t="s">
        <v>833</v>
      </c>
      <c r="E94" s="7" t="s">
        <v>834</v>
      </c>
      <c r="F94" s="7" t="s">
        <v>835</v>
      </c>
    </row>
    <row r="95" spans="1:6" x14ac:dyDescent="0.25">
      <c r="A95" s="8" t="s">
        <v>90</v>
      </c>
      <c r="B95" s="9">
        <v>0</v>
      </c>
      <c r="C95" s="9">
        <v>637</v>
      </c>
      <c r="D95" s="9">
        <v>430</v>
      </c>
      <c r="E95" s="9">
        <v>761</v>
      </c>
      <c r="F95" s="9">
        <v>651</v>
      </c>
    </row>
    <row r="96" spans="1:6" x14ac:dyDescent="0.25">
      <c r="A96" s="6" t="s">
        <v>91</v>
      </c>
      <c r="B96" s="7">
        <v>0</v>
      </c>
      <c r="C96" s="7" t="s">
        <v>746</v>
      </c>
      <c r="D96" s="7" t="s">
        <v>682</v>
      </c>
      <c r="E96" s="7" t="s">
        <v>836</v>
      </c>
      <c r="F96" s="7" t="s">
        <v>683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2452</v>
      </c>
      <c r="D98" s="5">
        <v>5847</v>
      </c>
      <c r="E98" s="5" t="s">
        <v>837</v>
      </c>
      <c r="F98" s="5">
        <v>3434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121</v>
      </c>
      <c r="D100" s="7">
        <v>129</v>
      </c>
      <c r="E100" s="7">
        <v>257</v>
      </c>
      <c r="F100" s="7">
        <v>222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838</v>
      </c>
      <c r="D102" s="7" t="s">
        <v>684</v>
      </c>
      <c r="E102" s="7" t="s">
        <v>839</v>
      </c>
      <c r="F102" s="7" t="s">
        <v>685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 t="s">
        <v>840</v>
      </c>
      <c r="D105" s="9" t="s">
        <v>686</v>
      </c>
      <c r="E105" s="9" t="s">
        <v>841</v>
      </c>
      <c r="F105" s="9">
        <v>2117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842</v>
      </c>
      <c r="D110" s="5">
        <v>3288</v>
      </c>
      <c r="E110" s="5" t="s">
        <v>843</v>
      </c>
      <c r="F110" s="5">
        <v>1397</v>
      </c>
    </row>
    <row r="111" spans="1:6" x14ac:dyDescent="0.25">
      <c r="A111" s="8" t="s">
        <v>530</v>
      </c>
      <c r="B111" s="9">
        <v>0</v>
      </c>
      <c r="C111" s="9" t="s">
        <v>844</v>
      </c>
      <c r="D111" s="9" t="s">
        <v>687</v>
      </c>
      <c r="E111" s="9" t="s">
        <v>845</v>
      </c>
      <c r="F111" s="9" t="s">
        <v>687</v>
      </c>
    </row>
    <row r="112" spans="1:6" x14ac:dyDescent="0.25">
      <c r="A112" s="6" t="s">
        <v>531</v>
      </c>
      <c r="B112" s="7">
        <v>0</v>
      </c>
      <c r="C112" s="7" t="s">
        <v>846</v>
      </c>
      <c r="D112" s="7">
        <v>3228</v>
      </c>
      <c r="E112" s="7" t="s">
        <v>847</v>
      </c>
      <c r="F112" s="7">
        <v>1337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846</v>
      </c>
      <c r="D114" s="5">
        <v>3228</v>
      </c>
      <c r="E114" s="5" t="s">
        <v>847</v>
      </c>
      <c r="F114" s="5">
        <v>1337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2.5999999999999999E-2</v>
      </c>
      <c r="D117" s="9">
        <v>5.2999999999999999E-2</v>
      </c>
      <c r="E117" s="9" t="s">
        <v>848</v>
      </c>
      <c r="F117" s="9">
        <v>2.1999999999999999E-2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2.5999999999999999E-2</v>
      </c>
      <c r="D119" s="9">
        <v>5.2999999999999999E-2</v>
      </c>
      <c r="E119" s="9" t="s">
        <v>848</v>
      </c>
      <c r="F119" s="9">
        <v>2.1999999999999999E-2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571</v>
      </c>
      <c r="B134" s="7">
        <v>61450</v>
      </c>
      <c r="C134" s="7">
        <v>0</v>
      </c>
      <c r="D134" s="7">
        <v>0</v>
      </c>
      <c r="E134" s="7">
        <v>0</v>
      </c>
      <c r="F134" s="7">
        <v>1737</v>
      </c>
      <c r="G134" s="7">
        <v>38348</v>
      </c>
      <c r="H134" s="7">
        <v>0</v>
      </c>
      <c r="I134" s="7">
        <v>0</v>
      </c>
      <c r="J134" s="7">
        <v>0</v>
      </c>
      <c r="K134" s="7" t="s">
        <v>507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507</v>
      </c>
      <c r="X134" s="7">
        <v>98838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1737</v>
      </c>
      <c r="G137" s="9">
        <v>38348</v>
      </c>
      <c r="H137" s="9">
        <v>0</v>
      </c>
      <c r="I137" s="9">
        <v>0</v>
      </c>
      <c r="J137" s="9">
        <v>0</v>
      </c>
      <c r="K137" s="9" t="s">
        <v>507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507</v>
      </c>
      <c r="X137" s="9">
        <v>98838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1337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1337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800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800</v>
      </c>
      <c r="X141" s="9">
        <v>800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1337</v>
      </c>
      <c r="H142" s="7">
        <v>0</v>
      </c>
      <c r="I142" s="7">
        <v>0</v>
      </c>
      <c r="J142" s="7">
        <v>0</v>
      </c>
      <c r="K142" s="7">
        <v>800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800</v>
      </c>
      <c r="X142" s="7">
        <v>2137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688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688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849</v>
      </c>
      <c r="H156" s="7">
        <v>0</v>
      </c>
      <c r="I156" s="7">
        <v>0</v>
      </c>
      <c r="J156" s="7">
        <v>0</v>
      </c>
      <c r="K156" s="7">
        <v>800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800</v>
      </c>
      <c r="X156" s="7" t="s">
        <v>850</v>
      </c>
    </row>
    <row r="157" spans="1:24" x14ac:dyDescent="0.25">
      <c r="A157" s="8" t="s">
        <v>691</v>
      </c>
      <c r="B157" s="9">
        <v>61450</v>
      </c>
      <c r="C157" s="9">
        <v>0</v>
      </c>
      <c r="D157" s="9">
        <v>0</v>
      </c>
      <c r="E157" s="9">
        <v>0</v>
      </c>
      <c r="F157" s="9">
        <v>1737</v>
      </c>
      <c r="G157" s="9">
        <v>36441</v>
      </c>
      <c r="H157" s="9">
        <v>0</v>
      </c>
      <c r="I157" s="9">
        <v>0</v>
      </c>
      <c r="J157" s="9">
        <v>0</v>
      </c>
      <c r="K157" s="9" t="s">
        <v>674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674</v>
      </c>
      <c r="X157" s="9">
        <v>97731</v>
      </c>
    </row>
    <row r="158" spans="1:24" x14ac:dyDescent="0.25">
      <c r="A158" s="6" t="s">
        <v>803</v>
      </c>
      <c r="B158" s="7">
        <v>61450</v>
      </c>
      <c r="C158" s="7">
        <v>0</v>
      </c>
      <c r="D158" s="7">
        <v>0</v>
      </c>
      <c r="E158" s="7">
        <v>0</v>
      </c>
      <c r="F158" s="7">
        <v>2414</v>
      </c>
      <c r="G158" s="7">
        <v>39708</v>
      </c>
      <c r="H158" s="7">
        <v>0</v>
      </c>
      <c r="I158" s="7">
        <v>0</v>
      </c>
      <c r="J158" s="7">
        <v>0</v>
      </c>
      <c r="K158" s="7" t="s">
        <v>730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730</v>
      </c>
      <c r="X158" s="7">
        <v>102197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2414</v>
      </c>
      <c r="G161" s="9">
        <v>39708</v>
      </c>
      <c r="H161" s="9">
        <v>0</v>
      </c>
      <c r="I161" s="9">
        <v>0</v>
      </c>
      <c r="J161" s="9">
        <v>0</v>
      </c>
      <c r="K161" s="9" t="s">
        <v>730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730</v>
      </c>
      <c r="X161" s="9">
        <v>102197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847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847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309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309</v>
      </c>
      <c r="X165" s="9">
        <v>309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847</v>
      </c>
      <c r="H166" s="7">
        <v>0</v>
      </c>
      <c r="I166" s="7">
        <v>0</v>
      </c>
      <c r="J166" s="7">
        <v>0</v>
      </c>
      <c r="K166" s="7">
        <v>309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309</v>
      </c>
      <c r="X166" s="7" t="s">
        <v>851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805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805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541</v>
      </c>
      <c r="G179" s="9" t="s">
        <v>806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541</v>
      </c>
      <c r="G180" s="7" t="s">
        <v>852</v>
      </c>
      <c r="H180" s="7">
        <v>0</v>
      </c>
      <c r="I180" s="7">
        <v>0</v>
      </c>
      <c r="J180" s="7">
        <v>0</v>
      </c>
      <c r="K180" s="7">
        <v>309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309</v>
      </c>
      <c r="X180" s="7" t="s">
        <v>853</v>
      </c>
    </row>
    <row r="181" spans="1:24" x14ac:dyDescent="0.25">
      <c r="A181" s="8" t="s">
        <v>854</v>
      </c>
      <c r="B181" s="9">
        <v>61450</v>
      </c>
      <c r="C181" s="9">
        <v>0</v>
      </c>
      <c r="D181" s="9">
        <v>0</v>
      </c>
      <c r="E181" s="9">
        <v>0</v>
      </c>
      <c r="F181" s="9">
        <v>2955</v>
      </c>
      <c r="G181" s="9">
        <v>26419</v>
      </c>
      <c r="H181" s="9">
        <v>0</v>
      </c>
      <c r="I181" s="9">
        <v>0</v>
      </c>
      <c r="J181" s="9">
        <v>0</v>
      </c>
      <c r="K181" s="9" t="s">
        <v>823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823</v>
      </c>
      <c r="X181" s="9">
        <v>89758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855</v>
      </c>
      <c r="D185" s="3" t="s">
        <v>692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71153</v>
      </c>
      <c r="D188" s="7">
        <v>67184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856</v>
      </c>
      <c r="D194" s="7" t="s">
        <v>693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857</v>
      </c>
      <c r="D196" s="7" t="s">
        <v>694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858</v>
      </c>
      <c r="D198" s="7" t="s">
        <v>695</v>
      </c>
    </row>
    <row r="199" spans="1:4" x14ac:dyDescent="0.25">
      <c r="A199" s="8" t="s">
        <v>591</v>
      </c>
      <c r="B199" s="9">
        <v>0</v>
      </c>
      <c r="C199" s="9">
        <v>2869</v>
      </c>
      <c r="D199" s="9">
        <v>4872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2869</v>
      </c>
      <c r="D206" s="5">
        <v>4872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859</v>
      </c>
      <c r="D229" s="9" t="s">
        <v>696</v>
      </c>
    </row>
    <row r="230" spans="1:4" x14ac:dyDescent="0.25">
      <c r="A230" s="6" t="s">
        <v>224</v>
      </c>
      <c r="B230" s="7">
        <v>0</v>
      </c>
      <c r="C230" s="7">
        <v>0</v>
      </c>
      <c r="D230" s="7">
        <v>0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 t="s">
        <v>860</v>
      </c>
      <c r="D233" s="9" t="s">
        <v>697</v>
      </c>
    </row>
    <row r="234" spans="1:4" x14ac:dyDescent="0.25">
      <c r="A234" s="4" t="s">
        <v>618</v>
      </c>
      <c r="B234" s="5">
        <v>0</v>
      </c>
      <c r="C234" s="5" t="s">
        <v>861</v>
      </c>
      <c r="D234" s="5" t="s">
        <v>698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44704</v>
      </c>
      <c r="D237" s="9">
        <v>28582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862</v>
      </c>
      <c r="D244" s="7" t="s">
        <v>699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863</v>
      </c>
      <c r="D250" s="7" t="s">
        <v>700</v>
      </c>
    </row>
    <row r="251" spans="1:4" x14ac:dyDescent="0.25">
      <c r="A251" s="8" t="s">
        <v>629</v>
      </c>
      <c r="B251" s="9">
        <v>0</v>
      </c>
      <c r="C251" s="9">
        <v>0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9595</v>
      </c>
      <c r="D254" s="5">
        <v>11216</v>
      </c>
    </row>
    <row r="255" spans="1:4" x14ac:dyDescent="0.25">
      <c r="A255" s="8" t="s">
        <v>250</v>
      </c>
      <c r="B255" s="9">
        <v>0</v>
      </c>
      <c r="C255" s="9" t="s">
        <v>864</v>
      </c>
      <c r="D255" s="9">
        <v>2580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864</v>
      </c>
      <c r="D257" s="9">
        <v>2580</v>
      </c>
    </row>
    <row r="258" spans="1:6" x14ac:dyDescent="0.25">
      <c r="A258" s="6" t="s">
        <v>255</v>
      </c>
      <c r="B258" s="7">
        <v>3</v>
      </c>
      <c r="C258" s="7">
        <v>14624</v>
      </c>
      <c r="D258" s="7">
        <v>2358</v>
      </c>
    </row>
    <row r="259" spans="1:6" x14ac:dyDescent="0.25">
      <c r="A259" s="4" t="s">
        <v>256</v>
      </c>
      <c r="B259" s="5">
        <v>3</v>
      </c>
      <c r="C259" s="5">
        <v>6432</v>
      </c>
      <c r="D259" s="5">
        <v>4938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824</v>
      </c>
      <c r="D263" s="3" t="s">
        <v>675</v>
      </c>
      <c r="E263" s="3" t="s">
        <v>825</v>
      </c>
      <c r="F263" s="3" t="s">
        <v>676</v>
      </c>
    </row>
    <row r="264" spans="1:6" x14ac:dyDescent="0.25">
      <c r="A264" s="6" t="s">
        <v>258</v>
      </c>
      <c r="B264" s="7">
        <v>0</v>
      </c>
      <c r="C264" s="7" t="s">
        <v>846</v>
      </c>
      <c r="D264" s="7">
        <v>3228</v>
      </c>
      <c r="E264" s="7" t="s">
        <v>847</v>
      </c>
      <c r="F264" s="7">
        <v>1337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89</v>
      </c>
      <c r="D269" s="9">
        <v>208</v>
      </c>
      <c r="E269" s="9">
        <v>309</v>
      </c>
      <c r="F269" s="9">
        <v>800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89</v>
      </c>
      <c r="D272" s="7">
        <v>208</v>
      </c>
      <c r="E272" s="7">
        <v>309</v>
      </c>
      <c r="F272" s="7">
        <v>800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89</v>
      </c>
      <c r="D303" s="5">
        <v>208</v>
      </c>
      <c r="E303" s="5">
        <v>309</v>
      </c>
      <c r="F303" s="5">
        <v>800</v>
      </c>
    </row>
    <row r="304" spans="1:6" x14ac:dyDescent="0.25">
      <c r="A304" s="4" t="s">
        <v>671</v>
      </c>
      <c r="B304" s="5">
        <v>0</v>
      </c>
      <c r="C304" s="5" t="s">
        <v>865</v>
      </c>
      <c r="D304" s="5">
        <v>3436</v>
      </c>
      <c r="E304" s="5" t="s">
        <v>851</v>
      </c>
      <c r="F304" s="5">
        <v>2137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43312.495011574101</v>
      </c>
    </row>
    <row r="311" spans="1:2" x14ac:dyDescent="0.25">
      <c r="A311" s="8" t="s">
        <v>277</v>
      </c>
      <c r="B311" s="10">
        <v>43312.4930902778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43312.493206018502</v>
      </c>
    </row>
    <row r="314" spans="1:2" x14ac:dyDescent="0.25">
      <c r="A314" s="6" t="s">
        <v>276</v>
      </c>
      <c r="B314" s="11">
        <v>43312.495231481502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43312.495405092603</v>
      </c>
    </row>
    <row r="317" spans="1:2" x14ac:dyDescent="0.25">
      <c r="A317" s="8" t="s">
        <v>277</v>
      </c>
      <c r="B317" s="10">
        <v>43312.493344907401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43312.493564814802</v>
      </c>
    </row>
    <row r="320" spans="1:2" x14ac:dyDescent="0.25">
      <c r="A320" s="6" t="s">
        <v>276</v>
      </c>
      <c r="B320" s="11">
        <v>43312.495601851799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546A-7C23-499E-AD96-CE836A665ABE}">
  <dimension ref="A1:X320"/>
  <sheetViews>
    <sheetView topLeftCell="A235" workbookViewId="0">
      <selection activeCell="C259" sqref="C186:C259"/>
    </sheetView>
  </sheetViews>
  <sheetFormatPr defaultRowHeight="15" x14ac:dyDescent="0.25"/>
  <cols>
    <col min="1" max="1" width="50.7109375" customWidth="1"/>
    <col min="2" max="2" width="18.85546875" customWidth="1"/>
    <col min="3" max="4" width="49" customWidth="1"/>
    <col min="5" max="6" width="51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866</v>
      </c>
    </row>
    <row r="3" spans="1:4" x14ac:dyDescent="0.25">
      <c r="A3" t="s">
        <v>780</v>
      </c>
    </row>
    <row r="4" spans="1:4" x14ac:dyDescent="0.25">
      <c r="A4" t="s">
        <v>353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867</v>
      </c>
      <c r="D9" s="3" t="s">
        <v>729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4147</v>
      </c>
      <c r="D12" s="7">
        <v>14624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23062</v>
      </c>
      <c r="D14" s="7">
        <v>20856</v>
      </c>
    </row>
    <row r="15" spans="1:4" x14ac:dyDescent="0.25">
      <c r="A15" s="8" t="s">
        <v>31</v>
      </c>
      <c r="B15" s="9">
        <v>4</v>
      </c>
      <c r="C15" s="9">
        <v>13133</v>
      </c>
      <c r="D15" s="9">
        <v>10534</v>
      </c>
    </row>
    <row r="16" spans="1:4" x14ac:dyDescent="0.25">
      <c r="A16" s="6" t="s">
        <v>18</v>
      </c>
      <c r="B16" s="7">
        <v>0</v>
      </c>
      <c r="C16" s="7">
        <v>1943</v>
      </c>
      <c r="D16" s="7">
        <v>2159</v>
      </c>
    </row>
    <row r="17" spans="1:4" x14ac:dyDescent="0.25">
      <c r="A17" s="8" t="s">
        <v>32</v>
      </c>
      <c r="B17" s="9">
        <v>0</v>
      </c>
      <c r="C17" s="9">
        <v>7986</v>
      </c>
      <c r="D17" s="9">
        <v>8163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2002</v>
      </c>
      <c r="D19" s="9">
        <v>1878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4694</v>
      </c>
      <c r="D22" s="7">
        <v>3901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33905</v>
      </c>
      <c r="D24" s="7">
        <v>41259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33905</v>
      </c>
      <c r="D26" s="5">
        <v>41259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11955</v>
      </c>
      <c r="D30" s="7">
        <v>8859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6426</v>
      </c>
      <c r="D32" s="7">
        <v>3806</v>
      </c>
    </row>
    <row r="33" spans="1:4" x14ac:dyDescent="0.25">
      <c r="A33" s="8" t="s">
        <v>32</v>
      </c>
      <c r="B33" s="9">
        <v>0</v>
      </c>
      <c r="C33" s="9">
        <v>5529</v>
      </c>
      <c r="D33" s="9">
        <v>5053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209089</v>
      </c>
      <c r="D38" s="7">
        <v>194778</v>
      </c>
    </row>
    <row r="39" spans="1:4" x14ac:dyDescent="0.25">
      <c r="A39" s="8" t="s">
        <v>497</v>
      </c>
      <c r="B39" s="9">
        <v>8</v>
      </c>
      <c r="C39" s="9">
        <v>13750</v>
      </c>
      <c r="D39" s="9">
        <v>15878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247600</v>
      </c>
      <c r="D45" s="5">
        <v>232321</v>
      </c>
    </row>
    <row r="46" spans="1:4" x14ac:dyDescent="0.25">
      <c r="A46" s="4" t="s">
        <v>39</v>
      </c>
      <c r="B46" s="5">
        <v>0</v>
      </c>
      <c r="C46" s="5">
        <v>281505</v>
      </c>
      <c r="D46" s="5">
        <v>273580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15295</v>
      </c>
      <c r="D49" s="9">
        <v>17862</v>
      </c>
    </row>
    <row r="50" spans="1:4" x14ac:dyDescent="0.25">
      <c r="A50" s="6" t="s">
        <v>501</v>
      </c>
      <c r="B50" s="7">
        <v>0</v>
      </c>
      <c r="C50" s="7">
        <v>39349</v>
      </c>
      <c r="D50" s="7">
        <v>28496</v>
      </c>
    </row>
    <row r="51" spans="1:4" x14ac:dyDescent="0.25">
      <c r="A51" s="8" t="s">
        <v>44</v>
      </c>
      <c r="B51" s="9">
        <v>10</v>
      </c>
      <c r="C51" s="9">
        <v>25778</v>
      </c>
      <c r="D51" s="9">
        <v>19836</v>
      </c>
    </row>
    <row r="52" spans="1:4" x14ac:dyDescent="0.25">
      <c r="A52" s="6" t="s">
        <v>46</v>
      </c>
      <c r="B52" s="7">
        <v>0</v>
      </c>
      <c r="C52" s="7">
        <v>0</v>
      </c>
      <c r="D52" s="7">
        <v>0</v>
      </c>
    </row>
    <row r="53" spans="1:4" x14ac:dyDescent="0.25">
      <c r="A53" s="8" t="s">
        <v>45</v>
      </c>
      <c r="B53" s="9">
        <v>11</v>
      </c>
      <c r="C53" s="9">
        <v>13571</v>
      </c>
      <c r="D53" s="9">
        <v>8660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54644</v>
      </c>
      <c r="D59" s="9">
        <v>46358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54644</v>
      </c>
      <c r="D61" s="5">
        <v>46358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113815</v>
      </c>
      <c r="D63" s="9">
        <v>99879</v>
      </c>
    </row>
    <row r="64" spans="1:4" x14ac:dyDescent="0.25">
      <c r="A64" s="6" t="s">
        <v>501</v>
      </c>
      <c r="B64" s="7">
        <v>0</v>
      </c>
      <c r="C64" s="7">
        <v>8619</v>
      </c>
      <c r="D64" s="7">
        <v>12879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880</v>
      </c>
      <c r="D66" s="7">
        <v>880</v>
      </c>
    </row>
    <row r="67" spans="1:4" x14ac:dyDescent="0.25">
      <c r="A67" s="8" t="s">
        <v>45</v>
      </c>
      <c r="B67" s="9">
        <v>11</v>
      </c>
      <c r="C67" s="9">
        <v>7739</v>
      </c>
      <c r="D67" s="9">
        <v>11999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12</v>
      </c>
      <c r="C71" s="9">
        <v>12444</v>
      </c>
      <c r="D71" s="9">
        <v>12267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134878</v>
      </c>
      <c r="D74" s="5">
        <v>125025</v>
      </c>
    </row>
    <row r="75" spans="1:4" x14ac:dyDescent="0.25">
      <c r="A75" s="4" t="s">
        <v>60</v>
      </c>
      <c r="B75" s="5">
        <v>0</v>
      </c>
      <c r="C75" s="5">
        <v>189522</v>
      </c>
      <c r="D75" s="5">
        <v>171383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13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2955</v>
      </c>
      <c r="D81" s="9">
        <v>2414</v>
      </c>
    </row>
    <row r="82" spans="1:6" x14ac:dyDescent="0.25">
      <c r="A82" s="6" t="s">
        <v>67</v>
      </c>
      <c r="B82" s="7">
        <v>0</v>
      </c>
      <c r="C82" s="7">
        <v>28531</v>
      </c>
      <c r="D82" s="7">
        <v>39708</v>
      </c>
    </row>
    <row r="83" spans="1:6" x14ac:dyDescent="0.25">
      <c r="A83" s="8" t="s">
        <v>68</v>
      </c>
      <c r="B83" s="9">
        <v>0</v>
      </c>
      <c r="C83" s="9" t="s">
        <v>868</v>
      </c>
      <c r="D83" s="9" t="s">
        <v>730</v>
      </c>
    </row>
    <row r="84" spans="1:6" x14ac:dyDescent="0.25">
      <c r="A84" s="4" t="s">
        <v>71</v>
      </c>
      <c r="B84" s="5">
        <v>0</v>
      </c>
      <c r="C84" s="5">
        <v>91983</v>
      </c>
      <c r="D84" s="5">
        <v>102197</v>
      </c>
    </row>
    <row r="85" spans="1:6" x14ac:dyDescent="0.25">
      <c r="A85" s="4" t="s">
        <v>72</v>
      </c>
      <c r="B85" s="5">
        <v>0</v>
      </c>
      <c r="C85" s="5">
        <v>281505</v>
      </c>
      <c r="D85" s="5">
        <v>273580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869</v>
      </c>
      <c r="D89" s="3" t="s">
        <v>704</v>
      </c>
      <c r="E89" s="3" t="s">
        <v>870</v>
      </c>
      <c r="F89" s="3" t="s">
        <v>705</v>
      </c>
    </row>
    <row r="90" spans="1:6" x14ac:dyDescent="0.25">
      <c r="A90" s="4" t="s">
        <v>510</v>
      </c>
      <c r="B90" s="5">
        <v>0</v>
      </c>
      <c r="C90" s="5">
        <v>47769</v>
      </c>
      <c r="D90" s="5">
        <v>44624</v>
      </c>
      <c r="E90" s="5">
        <v>123871</v>
      </c>
      <c r="F90" s="5">
        <v>115491</v>
      </c>
    </row>
    <row r="91" spans="1:6" x14ac:dyDescent="0.25">
      <c r="A91" s="8" t="s">
        <v>79</v>
      </c>
      <c r="B91" s="9">
        <v>15</v>
      </c>
      <c r="C91" s="9" t="s">
        <v>871</v>
      </c>
      <c r="D91" s="9" t="s">
        <v>872</v>
      </c>
      <c r="E91" s="9" t="s">
        <v>873</v>
      </c>
      <c r="F91" s="9" t="s">
        <v>874</v>
      </c>
    </row>
    <row r="92" spans="1:6" x14ac:dyDescent="0.25">
      <c r="A92" s="4" t="s">
        <v>82</v>
      </c>
      <c r="B92" s="5">
        <v>0</v>
      </c>
      <c r="C92" s="5">
        <v>17863</v>
      </c>
      <c r="D92" s="5">
        <v>18331</v>
      </c>
      <c r="E92" s="5">
        <v>41878</v>
      </c>
      <c r="F92" s="5">
        <v>43323</v>
      </c>
    </row>
    <row r="93" spans="1:6" x14ac:dyDescent="0.25">
      <c r="A93" s="8" t="s">
        <v>83</v>
      </c>
      <c r="B93" s="9">
        <v>17</v>
      </c>
      <c r="C93" s="9" t="s">
        <v>875</v>
      </c>
      <c r="D93" s="9" t="s">
        <v>708</v>
      </c>
      <c r="E93" s="9" t="s">
        <v>876</v>
      </c>
      <c r="F93" s="9" t="s">
        <v>709</v>
      </c>
    </row>
    <row r="94" spans="1:6" x14ac:dyDescent="0.25">
      <c r="A94" s="6" t="s">
        <v>86</v>
      </c>
      <c r="B94" s="7">
        <v>16</v>
      </c>
      <c r="C94" s="7" t="s">
        <v>877</v>
      </c>
      <c r="D94" s="7" t="s">
        <v>878</v>
      </c>
      <c r="E94" s="7" t="s">
        <v>879</v>
      </c>
      <c r="F94" s="7" t="s">
        <v>880</v>
      </c>
    </row>
    <row r="95" spans="1:6" x14ac:dyDescent="0.25">
      <c r="A95" s="8" t="s">
        <v>90</v>
      </c>
      <c r="B95" s="9">
        <v>0</v>
      </c>
      <c r="C95" s="9">
        <v>968</v>
      </c>
      <c r="D95" s="9">
        <v>553</v>
      </c>
      <c r="E95" s="9">
        <v>1729</v>
      </c>
      <c r="F95" s="9">
        <v>1204</v>
      </c>
    </row>
    <row r="96" spans="1:6" x14ac:dyDescent="0.25">
      <c r="A96" s="6" t="s">
        <v>91</v>
      </c>
      <c r="B96" s="7">
        <v>0</v>
      </c>
      <c r="C96" s="7" t="s">
        <v>881</v>
      </c>
      <c r="D96" s="7" t="s">
        <v>712</v>
      </c>
      <c r="E96" s="7" t="s">
        <v>882</v>
      </c>
      <c r="F96" s="7" t="s">
        <v>713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5943</v>
      </c>
      <c r="D98" s="5">
        <v>7344</v>
      </c>
      <c r="E98" s="5">
        <v>5470</v>
      </c>
      <c r="F98" s="5">
        <v>10778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197</v>
      </c>
      <c r="D100" s="7">
        <v>180</v>
      </c>
      <c r="E100" s="7">
        <v>454</v>
      </c>
      <c r="F100" s="7">
        <v>402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883</v>
      </c>
      <c r="D102" s="7" t="s">
        <v>714</v>
      </c>
      <c r="E102" s="7" t="s">
        <v>884</v>
      </c>
      <c r="F102" s="7" t="s">
        <v>715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 t="s">
        <v>885</v>
      </c>
      <c r="D105" s="9" t="s">
        <v>716</v>
      </c>
      <c r="E105" s="9" t="s">
        <v>886</v>
      </c>
      <c r="F105" s="9">
        <v>1467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2293</v>
      </c>
      <c r="D110" s="5">
        <v>4767</v>
      </c>
      <c r="E110" s="5" t="s">
        <v>887</v>
      </c>
      <c r="F110" s="5">
        <v>6164</v>
      </c>
    </row>
    <row r="111" spans="1:6" x14ac:dyDescent="0.25">
      <c r="A111" s="8" t="s">
        <v>530</v>
      </c>
      <c r="B111" s="9">
        <v>0</v>
      </c>
      <c r="C111" s="9" t="s">
        <v>844</v>
      </c>
      <c r="D111" s="9">
        <v>50</v>
      </c>
      <c r="E111" s="9" t="s">
        <v>888</v>
      </c>
      <c r="F111" s="9" t="s">
        <v>717</v>
      </c>
    </row>
    <row r="112" spans="1:6" x14ac:dyDescent="0.25">
      <c r="A112" s="6" t="s">
        <v>531</v>
      </c>
      <c r="B112" s="7">
        <v>0</v>
      </c>
      <c r="C112" s="7">
        <v>2113</v>
      </c>
      <c r="D112" s="7">
        <v>4817</v>
      </c>
      <c r="E112" s="7" t="s">
        <v>889</v>
      </c>
      <c r="F112" s="7">
        <v>6154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2113</v>
      </c>
      <c r="D114" s="5">
        <v>4817</v>
      </c>
      <c r="E114" s="5" t="s">
        <v>889</v>
      </c>
      <c r="F114" s="5">
        <v>6154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3.4000000000000002E-2</v>
      </c>
      <c r="D117" s="9">
        <v>7.9000000000000001E-2</v>
      </c>
      <c r="E117" s="9" t="s">
        <v>890</v>
      </c>
      <c r="F117" s="9">
        <v>0.1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3.4000000000000002E-2</v>
      </c>
      <c r="D119" s="9">
        <v>7.9000000000000001E-2</v>
      </c>
      <c r="E119" s="9" t="s">
        <v>890</v>
      </c>
      <c r="F119" s="9">
        <v>0.1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571</v>
      </c>
      <c r="B134" s="7">
        <v>61450</v>
      </c>
      <c r="C134" s="7">
        <v>0</v>
      </c>
      <c r="D134" s="7">
        <v>0</v>
      </c>
      <c r="E134" s="7">
        <v>0</v>
      </c>
      <c r="F134" s="7">
        <v>1737</v>
      </c>
      <c r="G134" s="7">
        <v>38348</v>
      </c>
      <c r="H134" s="7">
        <v>0</v>
      </c>
      <c r="I134" s="7">
        <v>0</v>
      </c>
      <c r="J134" s="7">
        <v>0</v>
      </c>
      <c r="K134" s="7" t="s">
        <v>507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507</v>
      </c>
      <c r="X134" s="7">
        <v>98838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1737</v>
      </c>
      <c r="G137" s="9">
        <v>38348</v>
      </c>
      <c r="H137" s="9">
        <v>0</v>
      </c>
      <c r="I137" s="9">
        <v>0</v>
      </c>
      <c r="J137" s="9">
        <v>0</v>
      </c>
      <c r="K137" s="9" t="s">
        <v>507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507</v>
      </c>
      <c r="X137" s="9">
        <v>98838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6154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6154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1054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1054</v>
      </c>
      <c r="X141" s="9">
        <v>1054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6154</v>
      </c>
      <c r="H142" s="7">
        <v>0</v>
      </c>
      <c r="I142" s="7">
        <v>0</v>
      </c>
      <c r="J142" s="7">
        <v>0</v>
      </c>
      <c r="K142" s="7">
        <v>1054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1054</v>
      </c>
      <c r="X142" s="7">
        <v>7208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688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688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677</v>
      </c>
      <c r="G155" s="9" t="s">
        <v>718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677</v>
      </c>
      <c r="G156" s="7">
        <v>2233</v>
      </c>
      <c r="H156" s="7">
        <v>0</v>
      </c>
      <c r="I156" s="7">
        <v>0</v>
      </c>
      <c r="J156" s="7">
        <v>0</v>
      </c>
      <c r="K156" s="7">
        <v>1054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1054</v>
      </c>
      <c r="X156" s="7">
        <v>3964</v>
      </c>
    </row>
    <row r="157" spans="1:24" x14ac:dyDescent="0.25">
      <c r="A157" s="8" t="s">
        <v>719</v>
      </c>
      <c r="B157" s="9">
        <v>61450</v>
      </c>
      <c r="C157" s="9">
        <v>0</v>
      </c>
      <c r="D157" s="9">
        <v>0</v>
      </c>
      <c r="E157" s="9">
        <v>0</v>
      </c>
      <c r="F157" s="9">
        <v>2414</v>
      </c>
      <c r="G157" s="9">
        <v>40581</v>
      </c>
      <c r="H157" s="9">
        <v>0</v>
      </c>
      <c r="I157" s="9">
        <v>0</v>
      </c>
      <c r="J157" s="9">
        <v>0</v>
      </c>
      <c r="K157" s="9" t="s">
        <v>703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703</v>
      </c>
      <c r="X157" s="9">
        <v>102802</v>
      </c>
    </row>
    <row r="158" spans="1:24" x14ac:dyDescent="0.25">
      <c r="A158" s="6" t="s">
        <v>803</v>
      </c>
      <c r="B158" s="7">
        <v>61450</v>
      </c>
      <c r="C158" s="7">
        <v>0</v>
      </c>
      <c r="D158" s="7">
        <v>0</v>
      </c>
      <c r="E158" s="7">
        <v>0</v>
      </c>
      <c r="F158" s="7">
        <v>2414</v>
      </c>
      <c r="G158" s="7">
        <v>39708</v>
      </c>
      <c r="H158" s="7">
        <v>0</v>
      </c>
      <c r="I158" s="7">
        <v>0</v>
      </c>
      <c r="J158" s="7">
        <v>0</v>
      </c>
      <c r="K158" s="7" t="s">
        <v>730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730</v>
      </c>
      <c r="X158" s="7">
        <v>102197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2414</v>
      </c>
      <c r="G161" s="9">
        <v>39708</v>
      </c>
      <c r="H161" s="9">
        <v>0</v>
      </c>
      <c r="I161" s="9">
        <v>0</v>
      </c>
      <c r="J161" s="9">
        <v>0</v>
      </c>
      <c r="K161" s="9" t="s">
        <v>730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730</v>
      </c>
      <c r="X161" s="9">
        <v>102197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889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889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422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422</v>
      </c>
      <c r="X165" s="9">
        <v>422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889</v>
      </c>
      <c r="H166" s="7">
        <v>0</v>
      </c>
      <c r="I166" s="7">
        <v>0</v>
      </c>
      <c r="J166" s="7">
        <v>0</v>
      </c>
      <c r="K166" s="7">
        <v>422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422</v>
      </c>
      <c r="X166" s="7" t="s">
        <v>891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805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805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541</v>
      </c>
      <c r="G179" s="9" t="s">
        <v>806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541</v>
      </c>
      <c r="G180" s="7" t="s">
        <v>892</v>
      </c>
      <c r="H180" s="7">
        <v>0</v>
      </c>
      <c r="I180" s="7">
        <v>0</v>
      </c>
      <c r="J180" s="7">
        <v>0</v>
      </c>
      <c r="K180" s="7">
        <v>422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422</v>
      </c>
      <c r="X180" s="7" t="s">
        <v>893</v>
      </c>
    </row>
    <row r="181" spans="1:24" x14ac:dyDescent="0.25">
      <c r="A181" s="8" t="s">
        <v>894</v>
      </c>
      <c r="B181" s="9">
        <v>61450</v>
      </c>
      <c r="C181" s="9">
        <v>0</v>
      </c>
      <c r="D181" s="9">
        <v>0</v>
      </c>
      <c r="E181" s="9">
        <v>0</v>
      </c>
      <c r="F181" s="9">
        <v>2955</v>
      </c>
      <c r="G181" s="9">
        <v>28531</v>
      </c>
      <c r="H181" s="9">
        <v>0</v>
      </c>
      <c r="I181" s="9">
        <v>0</v>
      </c>
      <c r="J181" s="9">
        <v>0</v>
      </c>
      <c r="K181" s="9" t="s">
        <v>868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868</v>
      </c>
      <c r="X181" s="9">
        <v>91983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895</v>
      </c>
      <c r="D185" s="3" t="s">
        <v>720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122392</v>
      </c>
      <c r="D188" s="7">
        <v>110392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614</v>
      </c>
      <c r="D192" s="7">
        <v>792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896</v>
      </c>
      <c r="D194" s="7" t="s">
        <v>721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897</v>
      </c>
      <c r="D196" s="7" t="s">
        <v>722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898</v>
      </c>
      <c r="D198" s="7" t="s">
        <v>723</v>
      </c>
    </row>
    <row r="199" spans="1:4" x14ac:dyDescent="0.25">
      <c r="A199" s="8" t="s">
        <v>591</v>
      </c>
      <c r="B199" s="9">
        <v>0</v>
      </c>
      <c r="C199" s="9">
        <v>14475</v>
      </c>
      <c r="D199" s="9">
        <v>14059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14475</v>
      </c>
      <c r="D206" s="5">
        <v>14059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 t="s">
        <v>899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900</v>
      </c>
      <c r="D229" s="9" t="s">
        <v>724</v>
      </c>
    </row>
    <row r="230" spans="1:4" x14ac:dyDescent="0.25">
      <c r="A230" s="6" t="s">
        <v>224</v>
      </c>
      <c r="B230" s="7">
        <v>0</v>
      </c>
      <c r="C230" s="7" t="s">
        <v>901</v>
      </c>
      <c r="D230" s="7">
        <v>0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902</v>
      </c>
      <c r="D234" s="5" t="s">
        <v>724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44704</v>
      </c>
      <c r="D237" s="9">
        <v>28582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903</v>
      </c>
      <c r="D244" s="7" t="s">
        <v>725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904</v>
      </c>
      <c r="D250" s="7" t="s">
        <v>726</v>
      </c>
    </row>
    <row r="251" spans="1:4" x14ac:dyDescent="0.25">
      <c r="A251" s="8" t="s">
        <v>629</v>
      </c>
      <c r="B251" s="9">
        <v>0</v>
      </c>
      <c r="C251" s="9" t="s">
        <v>905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5752</v>
      </c>
      <c r="D254" s="5">
        <v>6271</v>
      </c>
    </row>
    <row r="255" spans="1:4" x14ac:dyDescent="0.25">
      <c r="A255" s="8" t="s">
        <v>250</v>
      </c>
      <c r="B255" s="9">
        <v>0</v>
      </c>
      <c r="C255" s="9" t="s">
        <v>906</v>
      </c>
      <c r="D255" s="9" t="s">
        <v>727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906</v>
      </c>
      <c r="D257" s="9" t="s">
        <v>727</v>
      </c>
    </row>
    <row r="258" spans="1:6" x14ac:dyDescent="0.25">
      <c r="A258" s="6" t="s">
        <v>255</v>
      </c>
      <c r="B258" s="7">
        <v>3</v>
      </c>
      <c r="C258" s="7">
        <v>14624</v>
      </c>
      <c r="D258" s="7">
        <v>2358</v>
      </c>
    </row>
    <row r="259" spans="1:6" x14ac:dyDescent="0.25">
      <c r="A259" s="4" t="s">
        <v>256</v>
      </c>
      <c r="B259" s="5">
        <v>3</v>
      </c>
      <c r="C259" s="5">
        <v>4147</v>
      </c>
      <c r="D259" s="5">
        <v>2130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869</v>
      </c>
      <c r="D263" s="3" t="s">
        <v>704</v>
      </c>
      <c r="E263" s="3" t="s">
        <v>870</v>
      </c>
      <c r="F263" s="3" t="s">
        <v>705</v>
      </c>
    </row>
    <row r="264" spans="1:6" x14ac:dyDescent="0.25">
      <c r="A264" s="6" t="s">
        <v>258</v>
      </c>
      <c r="B264" s="7">
        <v>0</v>
      </c>
      <c r="C264" s="7">
        <v>2113</v>
      </c>
      <c r="D264" s="7">
        <v>4817</v>
      </c>
      <c r="E264" s="7" t="s">
        <v>889</v>
      </c>
      <c r="F264" s="7">
        <v>6154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113</v>
      </c>
      <c r="D269" s="9">
        <v>254</v>
      </c>
      <c r="E269" s="9">
        <v>422</v>
      </c>
      <c r="F269" s="9">
        <v>1054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113</v>
      </c>
      <c r="D272" s="7">
        <v>254</v>
      </c>
      <c r="E272" s="7">
        <v>422</v>
      </c>
      <c r="F272" s="7">
        <v>1054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113</v>
      </c>
      <c r="D303" s="5">
        <v>254</v>
      </c>
      <c r="E303" s="5">
        <v>422</v>
      </c>
      <c r="F303" s="5">
        <v>1054</v>
      </c>
    </row>
    <row r="304" spans="1:6" x14ac:dyDescent="0.25">
      <c r="A304" s="4" t="s">
        <v>671</v>
      </c>
      <c r="B304" s="5">
        <v>0</v>
      </c>
      <c r="C304" s="5">
        <v>2226</v>
      </c>
      <c r="D304" s="5">
        <v>5071</v>
      </c>
      <c r="E304" s="5" t="s">
        <v>891</v>
      </c>
      <c r="F304" s="5">
        <v>7208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43404.684467592597</v>
      </c>
    </row>
    <row r="311" spans="1:2" x14ac:dyDescent="0.25">
      <c r="A311" s="8" t="s">
        <v>277</v>
      </c>
      <c r="B311" s="10">
        <v>43404.683055555601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9" t="s">
        <v>907</v>
      </c>
    </row>
    <row r="314" spans="1:2" x14ac:dyDescent="0.25">
      <c r="A314" s="6" t="s">
        <v>276</v>
      </c>
      <c r="B314" s="11">
        <v>43404.6847569444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43404.684895833299</v>
      </c>
    </row>
    <row r="317" spans="1:2" x14ac:dyDescent="0.25">
      <c r="A317" s="8" t="s">
        <v>277</v>
      </c>
      <c r="B317" s="10">
        <v>43404.683090277802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43404.683101851799</v>
      </c>
    </row>
    <row r="320" spans="1:2" x14ac:dyDescent="0.25">
      <c r="A320" s="6" t="s">
        <v>276</v>
      </c>
      <c r="B320" s="11">
        <v>43404.685046296298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EE34-ABEE-4DEA-A6F9-392C0BB6AA55}">
  <dimension ref="A1:X320"/>
  <sheetViews>
    <sheetView topLeftCell="A235" workbookViewId="0">
      <selection activeCell="C259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51" customWidth="1"/>
    <col min="5" max="6" width="50.285156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908</v>
      </c>
    </row>
    <row r="3" spans="1:4" x14ac:dyDescent="0.25">
      <c r="A3" t="s">
        <v>780</v>
      </c>
    </row>
    <row r="4" spans="1:4" x14ac:dyDescent="0.25">
      <c r="A4" t="s">
        <v>421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909</v>
      </c>
      <c r="D9" s="3" t="s">
        <v>729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3308</v>
      </c>
      <c r="D12" s="7">
        <v>14624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30940</v>
      </c>
      <c r="D14" s="7">
        <v>20799</v>
      </c>
    </row>
    <row r="15" spans="1:4" x14ac:dyDescent="0.25">
      <c r="A15" s="8" t="s">
        <v>31</v>
      </c>
      <c r="B15" s="9">
        <v>4</v>
      </c>
      <c r="C15" s="9">
        <v>9722</v>
      </c>
      <c r="D15" s="9">
        <v>10477</v>
      </c>
    </row>
    <row r="16" spans="1:4" x14ac:dyDescent="0.25">
      <c r="A16" s="6" t="s">
        <v>18</v>
      </c>
      <c r="B16" s="7">
        <v>0</v>
      </c>
      <c r="C16" s="7">
        <v>9076</v>
      </c>
      <c r="D16" s="7">
        <v>2159</v>
      </c>
    </row>
    <row r="17" spans="1:4" x14ac:dyDescent="0.25">
      <c r="A17" s="8" t="s">
        <v>32</v>
      </c>
      <c r="B17" s="9">
        <v>0</v>
      </c>
      <c r="C17" s="9">
        <v>12142</v>
      </c>
      <c r="D17" s="9">
        <v>8163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2065</v>
      </c>
      <c r="D19" s="9">
        <v>1878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4220</v>
      </c>
      <c r="D22" s="7">
        <v>3901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40533</v>
      </c>
      <c r="D24" s="7">
        <v>41202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40533</v>
      </c>
      <c r="D26" s="5">
        <v>41202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6688</v>
      </c>
      <c r="D30" s="7">
        <v>8859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2081</v>
      </c>
      <c r="D32" s="7">
        <v>3806</v>
      </c>
    </row>
    <row r="33" spans="1:4" x14ac:dyDescent="0.25">
      <c r="A33" s="8" t="s">
        <v>32</v>
      </c>
      <c r="B33" s="9">
        <v>0</v>
      </c>
      <c r="C33" s="9">
        <v>4607</v>
      </c>
      <c r="D33" s="9">
        <v>5053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207987</v>
      </c>
      <c r="D38" s="7">
        <v>194778</v>
      </c>
    </row>
    <row r="39" spans="1:4" x14ac:dyDescent="0.25">
      <c r="A39" s="8" t="s">
        <v>497</v>
      </c>
      <c r="B39" s="9">
        <v>8</v>
      </c>
      <c r="C39" s="9">
        <v>13231</v>
      </c>
      <c r="D39" s="9">
        <v>15878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240712</v>
      </c>
      <c r="D45" s="5">
        <v>232321</v>
      </c>
    </row>
    <row r="46" spans="1:4" x14ac:dyDescent="0.25">
      <c r="A46" s="4" t="s">
        <v>39</v>
      </c>
      <c r="B46" s="5">
        <v>0</v>
      </c>
      <c r="C46" s="5">
        <v>281245</v>
      </c>
      <c r="D46" s="5">
        <v>273523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19944</v>
      </c>
      <c r="D49" s="9">
        <v>17862</v>
      </c>
    </row>
    <row r="50" spans="1:4" x14ac:dyDescent="0.25">
      <c r="A50" s="6" t="s">
        <v>501</v>
      </c>
      <c r="B50" s="7">
        <v>0</v>
      </c>
      <c r="C50" s="7">
        <v>41164</v>
      </c>
      <c r="D50" s="7">
        <v>28496</v>
      </c>
    </row>
    <row r="51" spans="1:4" x14ac:dyDescent="0.25">
      <c r="A51" s="8" t="s">
        <v>44</v>
      </c>
      <c r="B51" s="9">
        <v>10</v>
      </c>
      <c r="C51" s="9">
        <v>23747</v>
      </c>
      <c r="D51" s="9">
        <v>19836</v>
      </c>
    </row>
    <row r="52" spans="1:4" x14ac:dyDescent="0.25">
      <c r="A52" s="6" t="s">
        <v>46</v>
      </c>
      <c r="B52" s="7">
        <v>0</v>
      </c>
      <c r="C52" s="7">
        <v>616</v>
      </c>
      <c r="D52" s="7">
        <v>0</v>
      </c>
    </row>
    <row r="53" spans="1:4" x14ac:dyDescent="0.25">
      <c r="A53" s="8" t="s">
        <v>45</v>
      </c>
      <c r="B53" s="9">
        <v>11</v>
      </c>
      <c r="C53" s="9">
        <v>16801</v>
      </c>
      <c r="D53" s="9">
        <v>8660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61108</v>
      </c>
      <c r="D59" s="9">
        <v>46358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61108</v>
      </c>
      <c r="D61" s="5">
        <v>46358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112158</v>
      </c>
      <c r="D63" s="9">
        <v>99879</v>
      </c>
    </row>
    <row r="64" spans="1:4" x14ac:dyDescent="0.25">
      <c r="A64" s="6" t="s">
        <v>501</v>
      </c>
      <c r="B64" s="7">
        <v>0</v>
      </c>
      <c r="C64" s="7">
        <v>8975</v>
      </c>
      <c r="D64" s="7">
        <v>12879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1282</v>
      </c>
      <c r="D66" s="7">
        <v>880</v>
      </c>
    </row>
    <row r="67" spans="1:4" x14ac:dyDescent="0.25">
      <c r="A67" s="8" t="s">
        <v>45</v>
      </c>
      <c r="B67" s="9">
        <v>11</v>
      </c>
      <c r="C67" s="9">
        <v>7693</v>
      </c>
      <c r="D67" s="9">
        <v>11999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12</v>
      </c>
      <c r="C71" s="9">
        <v>12486</v>
      </c>
      <c r="D71" s="9">
        <v>12267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133619</v>
      </c>
      <c r="D74" s="5">
        <v>125025</v>
      </c>
    </row>
    <row r="75" spans="1:4" x14ac:dyDescent="0.25">
      <c r="A75" s="4" t="s">
        <v>60</v>
      </c>
      <c r="B75" s="5">
        <v>0</v>
      </c>
      <c r="C75" s="5">
        <v>194727</v>
      </c>
      <c r="D75" s="5">
        <v>171383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13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2955</v>
      </c>
      <c r="D81" s="9">
        <v>2414</v>
      </c>
    </row>
    <row r="82" spans="1:6" x14ac:dyDescent="0.25">
      <c r="A82" s="6" t="s">
        <v>67</v>
      </c>
      <c r="B82" s="7">
        <v>0</v>
      </c>
      <c r="C82" s="7">
        <v>22965</v>
      </c>
      <c r="D82" s="7">
        <v>39651</v>
      </c>
    </row>
    <row r="83" spans="1:6" x14ac:dyDescent="0.25">
      <c r="A83" s="8" t="s">
        <v>68</v>
      </c>
      <c r="B83" s="9">
        <v>0</v>
      </c>
      <c r="C83" s="9" t="s">
        <v>910</v>
      </c>
      <c r="D83" s="9" t="s">
        <v>730</v>
      </c>
    </row>
    <row r="84" spans="1:6" x14ac:dyDescent="0.25">
      <c r="A84" s="4" t="s">
        <v>71</v>
      </c>
      <c r="B84" s="5">
        <v>0</v>
      </c>
      <c r="C84" s="5">
        <v>86518</v>
      </c>
      <c r="D84" s="5">
        <v>102140</v>
      </c>
    </row>
    <row r="85" spans="1:6" x14ac:dyDescent="0.25">
      <c r="A85" s="4" t="s">
        <v>72</v>
      </c>
      <c r="B85" s="5">
        <v>0</v>
      </c>
      <c r="C85" s="5">
        <v>281245</v>
      </c>
      <c r="D85" s="5">
        <v>273523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911</v>
      </c>
      <c r="D89" s="3" t="s">
        <v>731</v>
      </c>
      <c r="E89" s="3" t="s">
        <v>912</v>
      </c>
      <c r="F89" s="3" t="s">
        <v>732</v>
      </c>
    </row>
    <row r="90" spans="1:6" x14ac:dyDescent="0.25">
      <c r="A90" s="4" t="s">
        <v>510</v>
      </c>
      <c r="B90" s="5">
        <v>0</v>
      </c>
      <c r="C90" s="5">
        <v>44534</v>
      </c>
      <c r="D90" s="5">
        <v>39523</v>
      </c>
      <c r="E90" s="5">
        <v>168405</v>
      </c>
      <c r="F90" s="5">
        <v>155014</v>
      </c>
    </row>
    <row r="91" spans="1:6" x14ac:dyDescent="0.25">
      <c r="A91" s="8" t="s">
        <v>79</v>
      </c>
      <c r="B91" s="9">
        <v>15</v>
      </c>
      <c r="C91" s="9" t="s">
        <v>913</v>
      </c>
      <c r="D91" s="9" t="s">
        <v>914</v>
      </c>
      <c r="E91" s="9" t="s">
        <v>915</v>
      </c>
      <c r="F91" s="9" t="s">
        <v>916</v>
      </c>
    </row>
    <row r="92" spans="1:6" x14ac:dyDescent="0.25">
      <c r="A92" s="4" t="s">
        <v>82</v>
      </c>
      <c r="B92" s="5">
        <v>0</v>
      </c>
      <c r="C92" s="5">
        <v>14606</v>
      </c>
      <c r="D92" s="5">
        <v>13287</v>
      </c>
      <c r="E92" s="5">
        <v>56484</v>
      </c>
      <c r="F92" s="5">
        <v>56610</v>
      </c>
    </row>
    <row r="93" spans="1:6" x14ac:dyDescent="0.25">
      <c r="A93" s="8" t="s">
        <v>83</v>
      </c>
      <c r="B93" s="9">
        <v>17</v>
      </c>
      <c r="C93" s="9" t="s">
        <v>917</v>
      </c>
      <c r="D93" s="9" t="s">
        <v>918</v>
      </c>
      <c r="E93" s="9" t="s">
        <v>919</v>
      </c>
      <c r="F93" s="9" t="s">
        <v>920</v>
      </c>
    </row>
    <row r="94" spans="1:6" x14ac:dyDescent="0.25">
      <c r="A94" s="6" t="s">
        <v>86</v>
      </c>
      <c r="B94" s="7">
        <v>16</v>
      </c>
      <c r="C94" s="7" t="s">
        <v>921</v>
      </c>
      <c r="D94" s="7" t="s">
        <v>922</v>
      </c>
      <c r="E94" s="7" t="s">
        <v>923</v>
      </c>
      <c r="F94" s="7" t="s">
        <v>924</v>
      </c>
    </row>
    <row r="95" spans="1:6" x14ac:dyDescent="0.25">
      <c r="A95" s="8" t="s">
        <v>90</v>
      </c>
      <c r="B95" s="9">
        <v>0</v>
      </c>
      <c r="C95" s="9">
        <v>2512</v>
      </c>
      <c r="D95" s="9">
        <v>4225</v>
      </c>
      <c r="E95" s="9">
        <v>4241</v>
      </c>
      <c r="F95" s="9">
        <v>5429</v>
      </c>
    </row>
    <row r="96" spans="1:6" x14ac:dyDescent="0.25">
      <c r="A96" s="6" t="s">
        <v>91</v>
      </c>
      <c r="B96" s="7">
        <v>0</v>
      </c>
      <c r="C96" s="7" t="s">
        <v>925</v>
      </c>
      <c r="D96" s="7" t="s">
        <v>745</v>
      </c>
      <c r="E96" s="7" t="s">
        <v>926</v>
      </c>
      <c r="F96" s="7" t="s">
        <v>747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3361</v>
      </c>
      <c r="D98" s="5">
        <v>4058</v>
      </c>
      <c r="E98" s="5">
        <v>8831</v>
      </c>
      <c r="F98" s="5">
        <v>14836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3643</v>
      </c>
      <c r="D100" s="7">
        <v>54</v>
      </c>
      <c r="E100" s="7">
        <v>4097</v>
      </c>
      <c r="F100" s="7">
        <v>456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927</v>
      </c>
      <c r="D102" s="7" t="s">
        <v>749</v>
      </c>
      <c r="E102" s="7" t="s">
        <v>928</v>
      </c>
      <c r="F102" s="7" t="s">
        <v>751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 t="s">
        <v>929</v>
      </c>
      <c r="E104" s="7">
        <v>0</v>
      </c>
      <c r="F104" s="7" t="s">
        <v>929</v>
      </c>
    </row>
    <row r="105" spans="1:6" x14ac:dyDescent="0.25">
      <c r="A105" s="8" t="s">
        <v>523</v>
      </c>
      <c r="B105" s="9">
        <v>0</v>
      </c>
      <c r="C105" s="9" t="s">
        <v>930</v>
      </c>
      <c r="D105" s="9">
        <v>1013</v>
      </c>
      <c r="E105" s="9" t="s">
        <v>931</v>
      </c>
      <c r="F105" s="9">
        <v>2480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1086</v>
      </c>
      <c r="D110" s="5">
        <v>870</v>
      </c>
      <c r="E110" s="5" t="s">
        <v>932</v>
      </c>
      <c r="F110" s="5">
        <v>7034</v>
      </c>
    </row>
    <row r="111" spans="1:6" x14ac:dyDescent="0.25">
      <c r="A111" s="8" t="s">
        <v>530</v>
      </c>
      <c r="B111" s="9">
        <v>0</v>
      </c>
      <c r="C111" s="9">
        <v>480</v>
      </c>
      <c r="D111" s="9" t="s">
        <v>933</v>
      </c>
      <c r="E111" s="9">
        <v>0</v>
      </c>
      <c r="F111" s="9" t="s">
        <v>934</v>
      </c>
    </row>
    <row r="112" spans="1:6" x14ac:dyDescent="0.25">
      <c r="A112" s="6" t="s">
        <v>531</v>
      </c>
      <c r="B112" s="7">
        <v>0</v>
      </c>
      <c r="C112" s="7">
        <v>1566</v>
      </c>
      <c r="D112" s="7" t="s">
        <v>935</v>
      </c>
      <c r="E112" s="7" t="s">
        <v>932</v>
      </c>
      <c r="F112" s="7">
        <v>5224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1566</v>
      </c>
      <c r="D114" s="5" t="s">
        <v>935</v>
      </c>
      <c r="E114" s="5" t="s">
        <v>932</v>
      </c>
      <c r="F114" s="5">
        <v>5224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2.5000000000000001E-2</v>
      </c>
      <c r="D117" s="9" t="s">
        <v>936</v>
      </c>
      <c r="E117" s="9" t="s">
        <v>937</v>
      </c>
      <c r="F117" s="9">
        <v>8.5000000000000006E-2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2.5000000000000001E-2</v>
      </c>
      <c r="D119" s="9" t="s">
        <v>936</v>
      </c>
      <c r="E119" s="9" t="s">
        <v>937</v>
      </c>
      <c r="F119" s="9">
        <v>8.5000000000000006E-2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571</v>
      </c>
      <c r="B134" s="7">
        <v>61450</v>
      </c>
      <c r="C134" s="7">
        <v>0</v>
      </c>
      <c r="D134" s="7">
        <v>0</v>
      </c>
      <c r="E134" s="7">
        <v>0</v>
      </c>
      <c r="F134" s="7">
        <v>1737</v>
      </c>
      <c r="G134" s="7">
        <v>38348</v>
      </c>
      <c r="H134" s="7">
        <v>0</v>
      </c>
      <c r="I134" s="7">
        <v>0</v>
      </c>
      <c r="J134" s="7">
        <v>0</v>
      </c>
      <c r="K134" s="7" t="s">
        <v>507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507</v>
      </c>
      <c r="X134" s="7">
        <v>98838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1737</v>
      </c>
      <c r="G137" s="9">
        <v>38348</v>
      </c>
      <c r="H137" s="9">
        <v>0</v>
      </c>
      <c r="I137" s="9">
        <v>0</v>
      </c>
      <c r="J137" s="9">
        <v>0</v>
      </c>
      <c r="K137" s="9" t="s">
        <v>507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507</v>
      </c>
      <c r="X137" s="9">
        <v>98838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5224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5224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1322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1322</v>
      </c>
      <c r="X141" s="9">
        <v>1322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5224</v>
      </c>
      <c r="H142" s="7">
        <v>0</v>
      </c>
      <c r="I142" s="7">
        <v>0</v>
      </c>
      <c r="J142" s="7">
        <v>0</v>
      </c>
      <c r="K142" s="7">
        <v>1322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1322</v>
      </c>
      <c r="X142" s="7">
        <v>6546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688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688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677</v>
      </c>
      <c r="G155" s="9" t="s">
        <v>718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677</v>
      </c>
      <c r="G156" s="7">
        <v>1303</v>
      </c>
      <c r="H156" s="7">
        <v>0</v>
      </c>
      <c r="I156" s="7">
        <v>0</v>
      </c>
      <c r="J156" s="7">
        <v>0</v>
      </c>
      <c r="K156" s="7">
        <v>1322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1322</v>
      </c>
      <c r="X156" s="7">
        <v>3302</v>
      </c>
    </row>
    <row r="157" spans="1:24" x14ac:dyDescent="0.25">
      <c r="A157" s="8" t="s">
        <v>757</v>
      </c>
      <c r="B157" s="9">
        <v>61450</v>
      </c>
      <c r="C157" s="9">
        <v>0</v>
      </c>
      <c r="D157" s="9">
        <v>0</v>
      </c>
      <c r="E157" s="9">
        <v>0</v>
      </c>
      <c r="F157" s="9">
        <v>2414</v>
      </c>
      <c r="G157" s="9">
        <v>39651</v>
      </c>
      <c r="H157" s="9">
        <v>0</v>
      </c>
      <c r="I157" s="9">
        <v>0</v>
      </c>
      <c r="J157" s="9">
        <v>0</v>
      </c>
      <c r="K157" s="9" t="s">
        <v>730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730</v>
      </c>
      <c r="X157" s="9">
        <v>102140</v>
      </c>
    </row>
    <row r="158" spans="1:24" x14ac:dyDescent="0.25">
      <c r="A158" s="6" t="s">
        <v>803</v>
      </c>
      <c r="B158" s="7">
        <v>61450</v>
      </c>
      <c r="C158" s="7">
        <v>0</v>
      </c>
      <c r="D158" s="7">
        <v>0</v>
      </c>
      <c r="E158" s="7">
        <v>0</v>
      </c>
      <c r="F158" s="7">
        <v>2414</v>
      </c>
      <c r="G158" s="7">
        <v>39651</v>
      </c>
      <c r="H158" s="7">
        <v>0</v>
      </c>
      <c r="I158" s="7">
        <v>0</v>
      </c>
      <c r="J158" s="7">
        <v>0</v>
      </c>
      <c r="K158" s="7" t="s">
        <v>730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730</v>
      </c>
      <c r="X158" s="7">
        <v>102140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2414</v>
      </c>
      <c r="G161" s="9">
        <v>39651</v>
      </c>
      <c r="H161" s="9">
        <v>0</v>
      </c>
      <c r="I161" s="9">
        <v>0</v>
      </c>
      <c r="J161" s="9">
        <v>0</v>
      </c>
      <c r="K161" s="9" t="s">
        <v>730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730</v>
      </c>
      <c r="X161" s="9">
        <v>102140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932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932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523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523</v>
      </c>
      <c r="X165" s="9">
        <v>523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932</v>
      </c>
      <c r="H166" s="7">
        <v>0</v>
      </c>
      <c r="I166" s="7">
        <v>0</v>
      </c>
      <c r="J166" s="7">
        <v>0</v>
      </c>
      <c r="K166" s="7">
        <v>523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523</v>
      </c>
      <c r="X166" s="7" t="s">
        <v>938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939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939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541</v>
      </c>
      <c r="G179" s="9" t="s">
        <v>806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541</v>
      </c>
      <c r="G180" s="7" t="s">
        <v>940</v>
      </c>
      <c r="H180" s="7">
        <v>0</v>
      </c>
      <c r="I180" s="7">
        <v>0</v>
      </c>
      <c r="J180" s="7">
        <v>0</v>
      </c>
      <c r="K180" s="7">
        <v>523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523</v>
      </c>
      <c r="X180" s="7" t="s">
        <v>941</v>
      </c>
    </row>
    <row r="181" spans="1:24" x14ac:dyDescent="0.25">
      <c r="A181" s="8" t="s">
        <v>942</v>
      </c>
      <c r="B181" s="9">
        <v>61450</v>
      </c>
      <c r="C181" s="9">
        <v>0</v>
      </c>
      <c r="D181" s="9">
        <v>0</v>
      </c>
      <c r="E181" s="9">
        <v>0</v>
      </c>
      <c r="F181" s="9">
        <v>2955</v>
      </c>
      <c r="G181" s="9">
        <v>22965</v>
      </c>
      <c r="H181" s="9">
        <v>0</v>
      </c>
      <c r="I181" s="9">
        <v>0</v>
      </c>
      <c r="J181" s="9">
        <v>0</v>
      </c>
      <c r="K181" s="9" t="s">
        <v>910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910</v>
      </c>
      <c r="X181" s="9">
        <v>86518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943</v>
      </c>
      <c r="D185" s="3" t="s">
        <v>758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170865</v>
      </c>
      <c r="D188" s="7">
        <v>164490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1691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944</v>
      </c>
      <c r="D194" s="7" t="s">
        <v>945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946</v>
      </c>
      <c r="D196" s="7" t="s">
        <v>761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947</v>
      </c>
      <c r="D198" s="7" t="s">
        <v>948</v>
      </c>
    </row>
    <row r="199" spans="1:4" x14ac:dyDescent="0.25">
      <c r="A199" s="8" t="s">
        <v>591</v>
      </c>
      <c r="B199" s="9">
        <v>0</v>
      </c>
      <c r="C199" s="9">
        <v>19130</v>
      </c>
      <c r="D199" s="9">
        <v>35531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 t="s">
        <v>949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19130</v>
      </c>
      <c r="D206" s="5">
        <v>34536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 t="s">
        <v>950</v>
      </c>
      <c r="D224" s="7" t="s">
        <v>951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952</v>
      </c>
      <c r="D229" s="9" t="s">
        <v>953</v>
      </c>
    </row>
    <row r="230" spans="1:4" x14ac:dyDescent="0.25">
      <c r="A230" s="6" t="s">
        <v>224</v>
      </c>
      <c r="B230" s="7">
        <v>0</v>
      </c>
      <c r="C230" s="7" t="s">
        <v>954</v>
      </c>
      <c r="D230" s="7" t="s">
        <v>955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956</v>
      </c>
      <c r="D234" s="5" t="s">
        <v>957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48042</v>
      </c>
      <c r="D237" s="9">
        <v>152813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958</v>
      </c>
      <c r="D244" s="7" t="s">
        <v>959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960</v>
      </c>
      <c r="D250" s="7" t="s">
        <v>774</v>
      </c>
    </row>
    <row r="251" spans="1:4" x14ac:dyDescent="0.25">
      <c r="A251" s="8" t="s">
        <v>629</v>
      </c>
      <c r="B251" s="9">
        <v>0</v>
      </c>
      <c r="C251" s="9" t="s">
        <v>805</v>
      </c>
      <c r="D251" s="9" t="s">
        <v>573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6921</v>
      </c>
      <c r="D254" s="5">
        <v>23732</v>
      </c>
    </row>
    <row r="255" spans="1:4" x14ac:dyDescent="0.25">
      <c r="A255" s="8" t="s">
        <v>250</v>
      </c>
      <c r="B255" s="9">
        <v>0</v>
      </c>
      <c r="C255" s="9" t="s">
        <v>961</v>
      </c>
      <c r="D255" s="9">
        <v>12266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961</v>
      </c>
      <c r="D257" s="9">
        <v>12266</v>
      </c>
    </row>
    <row r="258" spans="1:6" x14ac:dyDescent="0.25">
      <c r="A258" s="6" t="s">
        <v>255</v>
      </c>
      <c r="B258" s="7">
        <v>3</v>
      </c>
      <c r="C258" s="7">
        <v>14624</v>
      </c>
      <c r="D258" s="7">
        <v>2358</v>
      </c>
    </row>
    <row r="259" spans="1:6" x14ac:dyDescent="0.25">
      <c r="A259" s="4" t="s">
        <v>256</v>
      </c>
      <c r="B259" s="5">
        <v>3</v>
      </c>
      <c r="C259" s="5">
        <v>3308</v>
      </c>
      <c r="D259" s="5">
        <v>14624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911</v>
      </c>
      <c r="D263" s="3" t="s">
        <v>731</v>
      </c>
      <c r="E263" s="3" t="s">
        <v>912</v>
      </c>
      <c r="F263" s="3" t="s">
        <v>732</v>
      </c>
    </row>
    <row r="264" spans="1:6" x14ac:dyDescent="0.25">
      <c r="A264" s="6" t="s">
        <v>258</v>
      </c>
      <c r="B264" s="7">
        <v>0</v>
      </c>
      <c r="C264" s="7">
        <v>1566</v>
      </c>
      <c r="D264" s="7" t="s">
        <v>935</v>
      </c>
      <c r="E264" s="7" t="s">
        <v>932</v>
      </c>
      <c r="F264" s="7">
        <v>5224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101</v>
      </c>
      <c r="D269" s="9">
        <v>268</v>
      </c>
      <c r="E269" s="9">
        <v>523</v>
      </c>
      <c r="F269" s="9">
        <v>1322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101</v>
      </c>
      <c r="D272" s="7">
        <v>268</v>
      </c>
      <c r="E272" s="7">
        <v>523</v>
      </c>
      <c r="F272" s="7">
        <v>1322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101</v>
      </c>
      <c r="D303" s="5">
        <v>268</v>
      </c>
      <c r="E303" s="5">
        <v>523</v>
      </c>
      <c r="F303" s="5">
        <v>1322</v>
      </c>
    </row>
    <row r="304" spans="1:6" x14ac:dyDescent="0.25">
      <c r="A304" s="4" t="s">
        <v>671</v>
      </c>
      <c r="B304" s="5">
        <v>0</v>
      </c>
      <c r="C304" s="5">
        <v>1667</v>
      </c>
      <c r="D304" s="5" t="s">
        <v>962</v>
      </c>
      <c r="E304" s="5" t="s">
        <v>938</v>
      </c>
      <c r="F304" s="5">
        <v>6546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43511.652870370403</v>
      </c>
    </row>
    <row r="311" spans="1:2" x14ac:dyDescent="0.25">
      <c r="A311" s="8" t="s">
        <v>277</v>
      </c>
      <c r="B311" s="10">
        <v>43511.6508680556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43511.650879629597</v>
      </c>
    </row>
    <row r="314" spans="1:2" x14ac:dyDescent="0.25">
      <c r="A314" s="6" t="s">
        <v>276</v>
      </c>
      <c r="B314" s="11">
        <v>43511.652881944399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43511.652893518498</v>
      </c>
    </row>
    <row r="317" spans="1:2" x14ac:dyDescent="0.25">
      <c r="A317" s="8" t="s">
        <v>277</v>
      </c>
      <c r="B317" s="10">
        <v>43511.650891203702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43511.650914351798</v>
      </c>
    </row>
    <row r="320" spans="1:2" x14ac:dyDescent="0.25">
      <c r="A320" s="6" t="s">
        <v>276</v>
      </c>
      <c r="B320" s="11">
        <v>43511.652905092596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D921-969B-40FF-B141-2CC7116D844E}">
  <dimension ref="A1:X320"/>
  <sheetViews>
    <sheetView topLeftCell="A183" workbookViewId="0">
      <selection activeCell="C259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5.5703125" customWidth="1"/>
    <col min="5" max="6" width="46.8554687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963</v>
      </c>
    </row>
    <row r="3" spans="1:4" x14ac:dyDescent="0.25">
      <c r="A3" t="s">
        <v>964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965</v>
      </c>
      <c r="D9" s="3" t="s">
        <v>909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3992</v>
      </c>
      <c r="D12" s="7">
        <v>3308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20212</v>
      </c>
      <c r="D14" s="7">
        <v>29841</v>
      </c>
    </row>
    <row r="15" spans="1:4" x14ac:dyDescent="0.25">
      <c r="A15" s="8" t="s">
        <v>31</v>
      </c>
      <c r="B15" s="9">
        <v>4</v>
      </c>
      <c r="C15" s="9">
        <v>9283</v>
      </c>
      <c r="D15" s="9">
        <v>9993</v>
      </c>
    </row>
    <row r="16" spans="1:4" x14ac:dyDescent="0.25">
      <c r="A16" s="6" t="s">
        <v>18</v>
      </c>
      <c r="B16" s="7">
        <v>0</v>
      </c>
      <c r="C16" s="7">
        <v>3407</v>
      </c>
      <c r="D16" s="7">
        <v>12629</v>
      </c>
    </row>
    <row r="17" spans="1:4" x14ac:dyDescent="0.25">
      <c r="A17" s="8" t="s">
        <v>32</v>
      </c>
      <c r="B17" s="9">
        <v>0</v>
      </c>
      <c r="C17" s="9">
        <v>7522</v>
      </c>
      <c r="D17" s="9">
        <v>7219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2015</v>
      </c>
      <c r="D19" s="9">
        <v>2037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6207</v>
      </c>
      <c r="D22" s="7">
        <v>3687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32426</v>
      </c>
      <c r="D24" s="7">
        <v>38873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32426</v>
      </c>
      <c r="D26" s="5">
        <v>38873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6494</v>
      </c>
      <c r="D30" s="7">
        <v>6523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2010</v>
      </c>
      <c r="D32" s="7">
        <v>1946</v>
      </c>
    </row>
    <row r="33" spans="1:4" x14ac:dyDescent="0.25">
      <c r="A33" s="8" t="s">
        <v>32</v>
      </c>
      <c r="B33" s="9">
        <v>0</v>
      </c>
      <c r="C33" s="9">
        <v>4484</v>
      </c>
      <c r="D33" s="9">
        <v>4577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382345</v>
      </c>
      <c r="D38" s="7">
        <v>210350</v>
      </c>
    </row>
    <row r="39" spans="1:4" x14ac:dyDescent="0.25">
      <c r="A39" s="8" t="s">
        <v>497</v>
      </c>
      <c r="B39" s="9">
        <v>8</v>
      </c>
      <c r="C39" s="9">
        <v>13007</v>
      </c>
      <c r="D39" s="9">
        <v>13231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414652</v>
      </c>
      <c r="D45" s="5">
        <v>242910</v>
      </c>
    </row>
    <row r="46" spans="1:4" x14ac:dyDescent="0.25">
      <c r="A46" s="4" t="s">
        <v>39</v>
      </c>
      <c r="B46" s="5">
        <v>0</v>
      </c>
      <c r="C46" s="5">
        <v>447078</v>
      </c>
      <c r="D46" s="5">
        <v>281783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140777</v>
      </c>
      <c r="D49" s="9">
        <v>131980</v>
      </c>
    </row>
    <row r="50" spans="1:4" x14ac:dyDescent="0.25">
      <c r="A50" s="6" t="s">
        <v>501</v>
      </c>
      <c r="B50" s="7">
        <v>0</v>
      </c>
      <c r="C50" s="7">
        <v>35854</v>
      </c>
      <c r="D50" s="7">
        <v>43612</v>
      </c>
    </row>
    <row r="51" spans="1:4" x14ac:dyDescent="0.25">
      <c r="A51" s="8" t="s">
        <v>44</v>
      </c>
      <c r="B51" s="9">
        <v>10</v>
      </c>
      <c r="C51" s="9">
        <v>20587</v>
      </c>
      <c r="D51" s="9">
        <v>23718</v>
      </c>
    </row>
    <row r="52" spans="1:4" x14ac:dyDescent="0.25">
      <c r="A52" s="6" t="s">
        <v>46</v>
      </c>
      <c r="B52" s="7">
        <v>0</v>
      </c>
      <c r="C52" s="7">
        <v>591</v>
      </c>
      <c r="D52" s="7">
        <v>620</v>
      </c>
    </row>
    <row r="53" spans="1:4" x14ac:dyDescent="0.25">
      <c r="A53" s="8" t="s">
        <v>45</v>
      </c>
      <c r="B53" s="9">
        <v>11</v>
      </c>
      <c r="C53" s="9">
        <v>14676</v>
      </c>
      <c r="D53" s="9">
        <v>19274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176631</v>
      </c>
      <c r="D59" s="9">
        <v>175592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176631</v>
      </c>
      <c r="D61" s="5">
        <v>175592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168831</v>
      </c>
      <c r="D63" s="9">
        <v>122</v>
      </c>
    </row>
    <row r="64" spans="1:4" x14ac:dyDescent="0.25">
      <c r="A64" s="6" t="s">
        <v>501</v>
      </c>
      <c r="B64" s="7">
        <v>0</v>
      </c>
      <c r="C64" s="7">
        <v>6956</v>
      </c>
      <c r="D64" s="7">
        <v>7809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1324</v>
      </c>
      <c r="D66" s="7">
        <v>1324</v>
      </c>
    </row>
    <row r="67" spans="1:4" x14ac:dyDescent="0.25">
      <c r="A67" s="8" t="s">
        <v>45</v>
      </c>
      <c r="B67" s="9">
        <v>11</v>
      </c>
      <c r="C67" s="9">
        <v>5632</v>
      </c>
      <c r="D67" s="9">
        <v>6485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12</v>
      </c>
      <c r="C71" s="9">
        <v>8274</v>
      </c>
      <c r="D71" s="9">
        <v>8221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184061</v>
      </c>
      <c r="D74" s="5">
        <v>16152</v>
      </c>
    </row>
    <row r="75" spans="1:4" x14ac:dyDescent="0.25">
      <c r="A75" s="4" t="s">
        <v>60</v>
      </c>
      <c r="B75" s="5">
        <v>0</v>
      </c>
      <c r="C75" s="5">
        <v>360692</v>
      </c>
      <c r="D75" s="5">
        <v>191744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0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3035</v>
      </c>
      <c r="D81" s="9">
        <v>2955</v>
      </c>
    </row>
    <row r="82" spans="1:6" x14ac:dyDescent="0.25">
      <c r="A82" s="6" t="s">
        <v>67</v>
      </c>
      <c r="B82" s="7">
        <v>0</v>
      </c>
      <c r="C82" s="7">
        <v>22531</v>
      </c>
      <c r="D82" s="7">
        <v>26485</v>
      </c>
    </row>
    <row r="83" spans="1:6" x14ac:dyDescent="0.25">
      <c r="A83" s="8" t="s">
        <v>68</v>
      </c>
      <c r="B83" s="9">
        <v>0</v>
      </c>
      <c r="C83" s="9" t="s">
        <v>966</v>
      </c>
      <c r="D83" s="9" t="s">
        <v>967</v>
      </c>
    </row>
    <row r="84" spans="1:6" x14ac:dyDescent="0.25">
      <c r="A84" s="4" t="s">
        <v>71</v>
      </c>
      <c r="B84" s="5">
        <v>0</v>
      </c>
      <c r="C84" s="5">
        <v>86386</v>
      </c>
      <c r="D84" s="5">
        <v>90039</v>
      </c>
    </row>
    <row r="85" spans="1:6" x14ac:dyDescent="0.25">
      <c r="A85" s="4" t="s">
        <v>72</v>
      </c>
      <c r="B85" s="5">
        <v>0</v>
      </c>
      <c r="C85" s="5">
        <v>447078</v>
      </c>
      <c r="D85" s="5">
        <v>281783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968</v>
      </c>
      <c r="D89" s="3" t="s">
        <v>783</v>
      </c>
      <c r="E89" s="3" t="s">
        <v>969</v>
      </c>
      <c r="F89" s="3" t="s">
        <v>784</v>
      </c>
    </row>
    <row r="90" spans="1:6" x14ac:dyDescent="0.25">
      <c r="A90" s="4" t="s">
        <v>510</v>
      </c>
      <c r="B90" s="5">
        <v>0</v>
      </c>
      <c r="C90" s="5">
        <v>37259</v>
      </c>
      <c r="D90" s="5">
        <v>34394</v>
      </c>
      <c r="E90" s="5">
        <v>37259</v>
      </c>
      <c r="F90" s="5">
        <v>34394</v>
      </c>
    </row>
    <row r="91" spans="1:6" x14ac:dyDescent="0.25">
      <c r="A91" s="8" t="s">
        <v>79</v>
      </c>
      <c r="B91" s="9">
        <v>15</v>
      </c>
      <c r="C91" s="9" t="s">
        <v>970</v>
      </c>
      <c r="D91" s="9" t="s">
        <v>785</v>
      </c>
      <c r="E91" s="9" t="s">
        <v>970</v>
      </c>
      <c r="F91" s="9" t="s">
        <v>785</v>
      </c>
    </row>
    <row r="92" spans="1:6" x14ac:dyDescent="0.25">
      <c r="A92" s="4" t="s">
        <v>82</v>
      </c>
      <c r="B92" s="5">
        <v>0</v>
      </c>
      <c r="C92" s="5">
        <v>10042</v>
      </c>
      <c r="D92" s="5">
        <v>10043</v>
      </c>
      <c r="E92" s="5">
        <v>10042</v>
      </c>
      <c r="F92" s="5">
        <v>10043</v>
      </c>
    </row>
    <row r="93" spans="1:6" x14ac:dyDescent="0.25">
      <c r="A93" s="8" t="s">
        <v>83</v>
      </c>
      <c r="B93" s="9">
        <v>17</v>
      </c>
      <c r="C93" s="9" t="s">
        <v>971</v>
      </c>
      <c r="D93" s="9" t="s">
        <v>787</v>
      </c>
      <c r="E93" s="9" t="s">
        <v>971</v>
      </c>
      <c r="F93" s="9" t="s">
        <v>787</v>
      </c>
    </row>
    <row r="94" spans="1:6" x14ac:dyDescent="0.25">
      <c r="A94" s="6" t="s">
        <v>86</v>
      </c>
      <c r="B94" s="7">
        <v>16</v>
      </c>
      <c r="C94" s="7" t="s">
        <v>972</v>
      </c>
      <c r="D94" s="7" t="s">
        <v>788</v>
      </c>
      <c r="E94" s="7" t="s">
        <v>972</v>
      </c>
      <c r="F94" s="7" t="s">
        <v>788</v>
      </c>
    </row>
    <row r="95" spans="1:6" x14ac:dyDescent="0.25">
      <c r="A95" s="8" t="s">
        <v>90</v>
      </c>
      <c r="B95" s="9">
        <v>0</v>
      </c>
      <c r="C95" s="9">
        <v>134</v>
      </c>
      <c r="D95" s="9">
        <v>125</v>
      </c>
      <c r="E95" s="9">
        <v>134</v>
      </c>
      <c r="F95" s="9">
        <v>125</v>
      </c>
    </row>
    <row r="96" spans="1:6" x14ac:dyDescent="0.25">
      <c r="A96" s="6" t="s">
        <v>91</v>
      </c>
      <c r="B96" s="7">
        <v>0</v>
      </c>
      <c r="C96" s="7" t="s">
        <v>973</v>
      </c>
      <c r="D96" s="7" t="s">
        <v>790</v>
      </c>
      <c r="E96" s="7" t="s">
        <v>973</v>
      </c>
      <c r="F96" s="7" t="s">
        <v>790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974</v>
      </c>
      <c r="D98" s="5" t="s">
        <v>791</v>
      </c>
      <c r="E98" s="5" t="s">
        <v>974</v>
      </c>
      <c r="F98" s="5" t="s">
        <v>791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132</v>
      </c>
      <c r="D100" s="7">
        <v>136</v>
      </c>
      <c r="E100" s="7">
        <v>132</v>
      </c>
      <c r="F100" s="7">
        <v>136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975</v>
      </c>
      <c r="D102" s="7" t="s">
        <v>793</v>
      </c>
      <c r="E102" s="7" t="s">
        <v>975</v>
      </c>
      <c r="F102" s="7" t="s">
        <v>793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>
        <v>5158</v>
      </c>
      <c r="D105" s="9">
        <v>268</v>
      </c>
      <c r="E105" s="9">
        <v>5158</v>
      </c>
      <c r="F105" s="9">
        <v>268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976</v>
      </c>
      <c r="D110" s="5" t="s">
        <v>794</v>
      </c>
      <c r="E110" s="5" t="s">
        <v>976</v>
      </c>
      <c r="F110" s="5" t="s">
        <v>794</v>
      </c>
    </row>
    <row r="111" spans="1:6" x14ac:dyDescent="0.25">
      <c r="A111" s="8" t="s">
        <v>530</v>
      </c>
      <c r="B111" s="9">
        <v>0</v>
      </c>
      <c r="C111" s="9">
        <v>40</v>
      </c>
      <c r="D111" s="9" t="s">
        <v>796</v>
      </c>
      <c r="E111" s="9">
        <v>40</v>
      </c>
      <c r="F111" s="9" t="s">
        <v>796</v>
      </c>
    </row>
    <row r="112" spans="1:6" x14ac:dyDescent="0.25">
      <c r="A112" s="6" t="s">
        <v>531</v>
      </c>
      <c r="B112" s="7">
        <v>0</v>
      </c>
      <c r="C112" s="7" t="s">
        <v>977</v>
      </c>
      <c r="D112" s="7" t="s">
        <v>797</v>
      </c>
      <c r="E112" s="7" t="s">
        <v>977</v>
      </c>
      <c r="F112" s="7" t="s">
        <v>797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977</v>
      </c>
      <c r="D114" s="5" t="s">
        <v>797</v>
      </c>
      <c r="E114" s="5" t="s">
        <v>977</v>
      </c>
      <c r="F114" s="5" t="s">
        <v>797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978</v>
      </c>
      <c r="D117" s="9" t="s">
        <v>979</v>
      </c>
      <c r="E117" s="9" t="s">
        <v>978</v>
      </c>
      <c r="F117" s="9" t="s">
        <v>979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978</v>
      </c>
      <c r="D119" s="9" t="s">
        <v>979</v>
      </c>
      <c r="E119" s="9" t="s">
        <v>978</v>
      </c>
      <c r="F119" s="9" t="s">
        <v>979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803</v>
      </c>
      <c r="B134" s="7">
        <v>61450</v>
      </c>
      <c r="C134" s="7">
        <v>0</v>
      </c>
      <c r="D134" s="7">
        <v>0</v>
      </c>
      <c r="E134" s="7">
        <v>0</v>
      </c>
      <c r="F134" s="7">
        <v>2414</v>
      </c>
      <c r="G134" s="7">
        <v>39708</v>
      </c>
      <c r="H134" s="7">
        <v>0</v>
      </c>
      <c r="I134" s="7">
        <v>0</v>
      </c>
      <c r="J134" s="7">
        <v>0</v>
      </c>
      <c r="K134" s="7" t="s">
        <v>730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730</v>
      </c>
      <c r="X134" s="7">
        <v>102197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2414</v>
      </c>
      <c r="G137" s="9">
        <v>39708</v>
      </c>
      <c r="H137" s="9">
        <v>0</v>
      </c>
      <c r="I137" s="9">
        <v>0</v>
      </c>
      <c r="J137" s="9">
        <v>0</v>
      </c>
      <c r="K137" s="9" t="s">
        <v>730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730</v>
      </c>
      <c r="X137" s="9">
        <v>102197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797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797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220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220</v>
      </c>
      <c r="X141" s="9">
        <v>220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797</v>
      </c>
      <c r="H142" s="7">
        <v>0</v>
      </c>
      <c r="I142" s="7">
        <v>0</v>
      </c>
      <c r="J142" s="7">
        <v>0</v>
      </c>
      <c r="K142" s="7">
        <v>220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220</v>
      </c>
      <c r="X142" s="7" t="s">
        <v>804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805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805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541</v>
      </c>
      <c r="G155" s="9" t="s">
        <v>806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541</v>
      </c>
      <c r="G156" s="7" t="s">
        <v>807</v>
      </c>
      <c r="H156" s="7">
        <v>0</v>
      </c>
      <c r="I156" s="7">
        <v>0</v>
      </c>
      <c r="J156" s="7">
        <v>0</v>
      </c>
      <c r="K156" s="7">
        <v>220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220</v>
      </c>
      <c r="X156" s="7" t="s">
        <v>808</v>
      </c>
    </row>
    <row r="157" spans="1:24" x14ac:dyDescent="0.25">
      <c r="A157" s="8" t="s">
        <v>809</v>
      </c>
      <c r="B157" s="9">
        <v>61450</v>
      </c>
      <c r="C157" s="9">
        <v>0</v>
      </c>
      <c r="D157" s="9">
        <v>0</v>
      </c>
      <c r="E157" s="9">
        <v>0</v>
      </c>
      <c r="F157" s="9">
        <v>2955</v>
      </c>
      <c r="G157" s="9">
        <v>28032</v>
      </c>
      <c r="H157" s="9">
        <v>0</v>
      </c>
      <c r="I157" s="9">
        <v>0</v>
      </c>
      <c r="J157" s="9">
        <v>0</v>
      </c>
      <c r="K157" s="9" t="s">
        <v>782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782</v>
      </c>
      <c r="X157" s="9">
        <v>91282</v>
      </c>
    </row>
    <row r="158" spans="1:24" x14ac:dyDescent="0.25">
      <c r="A158" s="6" t="s">
        <v>980</v>
      </c>
      <c r="B158" s="7">
        <v>61450</v>
      </c>
      <c r="C158" s="7">
        <v>0</v>
      </c>
      <c r="D158" s="7">
        <v>0</v>
      </c>
      <c r="E158" s="7">
        <v>0</v>
      </c>
      <c r="F158" s="7">
        <v>2955</v>
      </c>
      <c r="G158" s="7">
        <v>26485</v>
      </c>
      <c r="H158" s="7">
        <v>0</v>
      </c>
      <c r="I158" s="7">
        <v>0</v>
      </c>
      <c r="J158" s="7">
        <v>0</v>
      </c>
      <c r="K158" s="7" t="s">
        <v>967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967</v>
      </c>
      <c r="X158" s="7">
        <v>90039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2955</v>
      </c>
      <c r="G161" s="9">
        <v>26485</v>
      </c>
      <c r="H161" s="9">
        <v>0</v>
      </c>
      <c r="I161" s="9">
        <v>0</v>
      </c>
      <c r="J161" s="9">
        <v>0</v>
      </c>
      <c r="K161" s="9" t="s">
        <v>967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967</v>
      </c>
      <c r="X161" s="9">
        <v>90039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977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977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221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221</v>
      </c>
      <c r="X165" s="9">
        <v>221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977</v>
      </c>
      <c r="H166" s="7">
        <v>0</v>
      </c>
      <c r="I166" s="7">
        <v>0</v>
      </c>
      <c r="J166" s="7">
        <v>0</v>
      </c>
      <c r="K166" s="7">
        <v>221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221</v>
      </c>
      <c r="X166" s="7" t="s">
        <v>981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80</v>
      </c>
      <c r="G179" s="9" t="s">
        <v>384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80</v>
      </c>
      <c r="G180" s="7" t="s">
        <v>982</v>
      </c>
      <c r="H180" s="7">
        <v>0</v>
      </c>
      <c r="I180" s="7">
        <v>0</v>
      </c>
      <c r="J180" s="7">
        <v>0</v>
      </c>
      <c r="K180" s="7">
        <v>221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221</v>
      </c>
      <c r="X180" s="7" t="s">
        <v>981</v>
      </c>
    </row>
    <row r="181" spans="1:24" x14ac:dyDescent="0.25">
      <c r="A181" s="8" t="s">
        <v>983</v>
      </c>
      <c r="B181" s="9">
        <v>61450</v>
      </c>
      <c r="C181" s="9">
        <v>0</v>
      </c>
      <c r="D181" s="9">
        <v>0</v>
      </c>
      <c r="E181" s="9">
        <v>0</v>
      </c>
      <c r="F181" s="9">
        <v>3035</v>
      </c>
      <c r="G181" s="9">
        <v>22531</v>
      </c>
      <c r="H181" s="9">
        <v>0</v>
      </c>
      <c r="I181" s="9">
        <v>0</v>
      </c>
      <c r="J181" s="9">
        <v>0</v>
      </c>
      <c r="K181" s="9" t="s">
        <v>966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966</v>
      </c>
      <c r="X181" s="9">
        <v>86386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984</v>
      </c>
      <c r="D185" s="3" t="s">
        <v>810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41717</v>
      </c>
      <c r="D188" s="7">
        <v>40738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985</v>
      </c>
      <c r="D194" s="7" t="s">
        <v>811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986</v>
      </c>
      <c r="D196" s="7" t="s">
        <v>812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987</v>
      </c>
      <c r="D198" s="7" t="s">
        <v>813</v>
      </c>
    </row>
    <row r="199" spans="1:4" x14ac:dyDescent="0.25">
      <c r="A199" s="8" t="s">
        <v>591</v>
      </c>
      <c r="B199" s="9">
        <v>0</v>
      </c>
      <c r="C199" s="9">
        <v>5424</v>
      </c>
      <c r="D199" s="9">
        <v>5621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5424</v>
      </c>
      <c r="D206" s="5">
        <v>5621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5971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3471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 t="s">
        <v>100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988</v>
      </c>
      <c r="D229" s="9" t="s">
        <v>814</v>
      </c>
    </row>
    <row r="230" spans="1:4" x14ac:dyDescent="0.25">
      <c r="A230" s="6" t="s">
        <v>224</v>
      </c>
      <c r="B230" s="7">
        <v>0</v>
      </c>
      <c r="C230" s="7">
        <v>0</v>
      </c>
      <c r="D230" s="7" t="s">
        <v>815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>
        <v>5798</v>
      </c>
      <c r="D234" s="5" t="s">
        <v>816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24339</v>
      </c>
      <c r="D237" s="9">
        <v>4877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989</v>
      </c>
      <c r="D244" s="7" t="s">
        <v>817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990</v>
      </c>
      <c r="D250" s="7" t="s">
        <v>818</v>
      </c>
    </row>
    <row r="251" spans="1:4" x14ac:dyDescent="0.25">
      <c r="A251" s="8" t="s">
        <v>629</v>
      </c>
      <c r="B251" s="9">
        <v>0</v>
      </c>
      <c r="C251" s="9" t="s">
        <v>991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992</v>
      </c>
      <c r="D254" s="5" t="s">
        <v>819</v>
      </c>
    </row>
    <row r="255" spans="1:4" x14ac:dyDescent="0.25">
      <c r="A255" s="8" t="s">
        <v>250</v>
      </c>
      <c r="B255" s="9">
        <v>0</v>
      </c>
      <c r="C255" s="9">
        <v>684</v>
      </c>
      <c r="D255" s="9" t="s">
        <v>820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>
        <v>684</v>
      </c>
      <c r="D257" s="9" t="s">
        <v>820</v>
      </c>
    </row>
    <row r="258" spans="1:6" x14ac:dyDescent="0.25">
      <c r="A258" s="6" t="s">
        <v>255</v>
      </c>
      <c r="B258" s="7">
        <v>3</v>
      </c>
      <c r="C258" s="7">
        <v>3308</v>
      </c>
      <c r="D258" s="7">
        <v>14624</v>
      </c>
    </row>
    <row r="259" spans="1:6" x14ac:dyDescent="0.25">
      <c r="A259" s="4" t="s">
        <v>256</v>
      </c>
      <c r="B259" s="5">
        <v>3</v>
      </c>
      <c r="C259" s="5">
        <v>3992</v>
      </c>
      <c r="D259" s="5">
        <v>2462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968</v>
      </c>
      <c r="D263" s="3" t="s">
        <v>783</v>
      </c>
      <c r="E263" s="3" t="s">
        <v>969</v>
      </c>
      <c r="F263" s="3" t="s">
        <v>784</v>
      </c>
    </row>
    <row r="264" spans="1:6" x14ac:dyDescent="0.25">
      <c r="A264" s="6" t="s">
        <v>258</v>
      </c>
      <c r="B264" s="7">
        <v>0</v>
      </c>
      <c r="C264" s="7" t="s">
        <v>977</v>
      </c>
      <c r="D264" s="7" t="s">
        <v>797</v>
      </c>
      <c r="E264" s="7" t="s">
        <v>977</v>
      </c>
      <c r="F264" s="7" t="s">
        <v>797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221</v>
      </c>
      <c r="D269" s="9">
        <v>220</v>
      </c>
      <c r="E269" s="9">
        <v>221</v>
      </c>
      <c r="F269" s="9">
        <v>220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221</v>
      </c>
      <c r="D272" s="7">
        <v>220</v>
      </c>
      <c r="E272" s="7">
        <v>221</v>
      </c>
      <c r="F272" s="7">
        <v>220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221</v>
      </c>
      <c r="D303" s="5">
        <v>220</v>
      </c>
      <c r="E303" s="5">
        <v>221</v>
      </c>
      <c r="F303" s="5">
        <v>220</v>
      </c>
    </row>
    <row r="304" spans="1:6" x14ac:dyDescent="0.25">
      <c r="A304" s="4" t="s">
        <v>671</v>
      </c>
      <c r="B304" s="5">
        <v>0</v>
      </c>
      <c r="C304" s="5" t="s">
        <v>981</v>
      </c>
      <c r="D304" s="5" t="s">
        <v>804</v>
      </c>
      <c r="E304" s="5" t="s">
        <v>981</v>
      </c>
      <c r="F304" s="5" t="s">
        <v>804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43585.454733796301</v>
      </c>
    </row>
    <row r="311" spans="1:2" x14ac:dyDescent="0.25">
      <c r="A311" s="8" t="s">
        <v>277</v>
      </c>
      <c r="B311" s="10">
        <v>43585.453680555598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43585.453784722202</v>
      </c>
    </row>
    <row r="314" spans="1:2" x14ac:dyDescent="0.25">
      <c r="A314" s="6" t="s">
        <v>276</v>
      </c>
      <c r="B314" s="11">
        <v>43585.4550578704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43585.4552430556</v>
      </c>
    </row>
    <row r="317" spans="1:2" x14ac:dyDescent="0.25">
      <c r="A317" s="8" t="s">
        <v>277</v>
      </c>
      <c r="B317" s="10">
        <v>43585.453900462999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43585.454004629602</v>
      </c>
    </row>
    <row r="320" spans="1:2" x14ac:dyDescent="0.25">
      <c r="A320" s="6" t="s">
        <v>276</v>
      </c>
      <c r="B320" s="11">
        <v>43585.455347222203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660E-B433-4EF0-8838-7C36D2873D82}">
  <dimension ref="A1:X320"/>
  <sheetViews>
    <sheetView topLeftCell="A236" workbookViewId="0">
      <selection activeCell="C259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3.7109375" customWidth="1"/>
    <col min="5" max="6" width="46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993</v>
      </c>
    </row>
    <row r="3" spans="1:4" x14ac:dyDescent="0.25">
      <c r="A3" t="s">
        <v>964</v>
      </c>
    </row>
    <row r="4" spans="1:4" x14ac:dyDescent="0.25">
      <c r="A4" t="s">
        <v>282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994</v>
      </c>
      <c r="D9" s="3" t="s">
        <v>909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5244</v>
      </c>
      <c r="D12" s="7">
        <v>3308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22509</v>
      </c>
      <c r="D14" s="7">
        <v>29841</v>
      </c>
    </row>
    <row r="15" spans="1:4" x14ac:dyDescent="0.25">
      <c r="A15" s="8" t="s">
        <v>31</v>
      </c>
      <c r="B15" s="9">
        <v>4</v>
      </c>
      <c r="C15" s="9">
        <v>11524</v>
      </c>
      <c r="D15" s="9">
        <v>9993</v>
      </c>
    </row>
    <row r="16" spans="1:4" x14ac:dyDescent="0.25">
      <c r="A16" s="6" t="s">
        <v>18</v>
      </c>
      <c r="B16" s="7">
        <v>0</v>
      </c>
      <c r="C16" s="7">
        <v>4300</v>
      </c>
      <c r="D16" s="7">
        <v>12629</v>
      </c>
    </row>
    <row r="17" spans="1:4" x14ac:dyDescent="0.25">
      <c r="A17" s="8" t="s">
        <v>32</v>
      </c>
      <c r="B17" s="9">
        <v>0</v>
      </c>
      <c r="C17" s="9">
        <v>6685</v>
      </c>
      <c r="D17" s="9">
        <v>7219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2179</v>
      </c>
      <c r="D19" s="9">
        <v>2037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5808</v>
      </c>
      <c r="D22" s="7">
        <v>3687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35740</v>
      </c>
      <c r="D24" s="7">
        <v>38873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35740</v>
      </c>
      <c r="D26" s="5">
        <v>38873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6444</v>
      </c>
      <c r="D30" s="7">
        <v>6523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2082</v>
      </c>
      <c r="D32" s="7">
        <v>1946</v>
      </c>
    </row>
    <row r="33" spans="1:4" x14ac:dyDescent="0.25">
      <c r="A33" s="8" t="s">
        <v>32</v>
      </c>
      <c r="B33" s="9">
        <v>0</v>
      </c>
      <c r="C33" s="9">
        <v>4362</v>
      </c>
      <c r="D33" s="9">
        <v>4577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376961</v>
      </c>
      <c r="D38" s="7">
        <v>210350</v>
      </c>
    </row>
    <row r="39" spans="1:4" x14ac:dyDescent="0.25">
      <c r="A39" s="8" t="s">
        <v>497</v>
      </c>
      <c r="B39" s="9">
        <v>8</v>
      </c>
      <c r="C39" s="9">
        <v>12222</v>
      </c>
      <c r="D39" s="9">
        <v>13231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408433</v>
      </c>
      <c r="D45" s="5">
        <v>242910</v>
      </c>
    </row>
    <row r="46" spans="1:4" x14ac:dyDescent="0.25">
      <c r="A46" s="4" t="s">
        <v>39</v>
      </c>
      <c r="B46" s="5">
        <v>0</v>
      </c>
      <c r="C46" s="5">
        <v>444173</v>
      </c>
      <c r="D46" s="5">
        <v>281783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139066</v>
      </c>
      <c r="D49" s="9">
        <v>131980</v>
      </c>
    </row>
    <row r="50" spans="1:4" x14ac:dyDescent="0.25">
      <c r="A50" s="6" t="s">
        <v>501</v>
      </c>
      <c r="B50" s="7">
        <v>0</v>
      </c>
      <c r="C50" s="7">
        <v>36880</v>
      </c>
      <c r="D50" s="7">
        <v>43612</v>
      </c>
    </row>
    <row r="51" spans="1:4" x14ac:dyDescent="0.25">
      <c r="A51" s="8" t="s">
        <v>44</v>
      </c>
      <c r="B51" s="9">
        <v>10</v>
      </c>
      <c r="C51" s="9">
        <v>19619</v>
      </c>
      <c r="D51" s="9">
        <v>23718</v>
      </c>
    </row>
    <row r="52" spans="1:4" x14ac:dyDescent="0.25">
      <c r="A52" s="6" t="s">
        <v>46</v>
      </c>
      <c r="B52" s="7">
        <v>0</v>
      </c>
      <c r="C52" s="7">
        <v>600</v>
      </c>
      <c r="D52" s="7">
        <v>620</v>
      </c>
    </row>
    <row r="53" spans="1:4" x14ac:dyDescent="0.25">
      <c r="A53" s="8" t="s">
        <v>45</v>
      </c>
      <c r="B53" s="9">
        <v>11</v>
      </c>
      <c r="C53" s="9">
        <v>16661</v>
      </c>
      <c r="D53" s="9">
        <v>19274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175946</v>
      </c>
      <c r="D59" s="9">
        <v>175592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175946</v>
      </c>
      <c r="D61" s="5">
        <v>175592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165429</v>
      </c>
      <c r="D63" s="9">
        <v>122</v>
      </c>
    </row>
    <row r="64" spans="1:4" x14ac:dyDescent="0.25">
      <c r="A64" s="6" t="s">
        <v>501</v>
      </c>
      <c r="B64" s="7">
        <v>0</v>
      </c>
      <c r="C64" s="7">
        <v>6197</v>
      </c>
      <c r="D64" s="7">
        <v>7809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1324</v>
      </c>
      <c r="D66" s="7">
        <v>1324</v>
      </c>
    </row>
    <row r="67" spans="1:4" x14ac:dyDescent="0.25">
      <c r="A67" s="8" t="s">
        <v>45</v>
      </c>
      <c r="B67" s="9">
        <v>11</v>
      </c>
      <c r="C67" s="9">
        <v>4873</v>
      </c>
      <c r="D67" s="9">
        <v>6485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12</v>
      </c>
      <c r="C71" s="9">
        <v>8350</v>
      </c>
      <c r="D71" s="9">
        <v>8221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179976</v>
      </c>
      <c r="D74" s="5">
        <v>16152</v>
      </c>
    </row>
    <row r="75" spans="1:4" x14ac:dyDescent="0.25">
      <c r="A75" s="4" t="s">
        <v>60</v>
      </c>
      <c r="B75" s="5">
        <v>0</v>
      </c>
      <c r="C75" s="5">
        <v>355922</v>
      </c>
      <c r="D75" s="5">
        <v>191744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0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3035</v>
      </c>
      <c r="D81" s="9">
        <v>2955</v>
      </c>
    </row>
    <row r="82" spans="1:6" x14ac:dyDescent="0.25">
      <c r="A82" s="6" t="s">
        <v>67</v>
      </c>
      <c r="B82" s="7">
        <v>0</v>
      </c>
      <c r="C82" s="7">
        <v>24214</v>
      </c>
      <c r="D82" s="7">
        <v>26485</v>
      </c>
    </row>
    <row r="83" spans="1:6" x14ac:dyDescent="0.25">
      <c r="A83" s="8" t="s">
        <v>68</v>
      </c>
      <c r="B83" s="9">
        <v>0</v>
      </c>
      <c r="C83" s="9" t="s">
        <v>995</v>
      </c>
      <c r="D83" s="9" t="s">
        <v>967</v>
      </c>
    </row>
    <row r="84" spans="1:6" x14ac:dyDescent="0.25">
      <c r="A84" s="4" t="s">
        <v>71</v>
      </c>
      <c r="B84" s="5">
        <v>0</v>
      </c>
      <c r="C84" s="5">
        <v>88251</v>
      </c>
      <c r="D84" s="5">
        <v>90039</v>
      </c>
    </row>
    <row r="85" spans="1:6" x14ac:dyDescent="0.25">
      <c r="A85" s="4" t="s">
        <v>72</v>
      </c>
      <c r="B85" s="5">
        <v>0</v>
      </c>
      <c r="C85" s="5">
        <v>444173</v>
      </c>
      <c r="D85" s="5">
        <v>281783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996</v>
      </c>
      <c r="D89" s="3" t="s">
        <v>824</v>
      </c>
      <c r="E89" s="3" t="s">
        <v>997</v>
      </c>
      <c r="F89" s="3" t="s">
        <v>825</v>
      </c>
    </row>
    <row r="90" spans="1:6" x14ac:dyDescent="0.25">
      <c r="A90" s="4" t="s">
        <v>510</v>
      </c>
      <c r="B90" s="5">
        <v>0</v>
      </c>
      <c r="C90" s="5">
        <v>47991</v>
      </c>
      <c r="D90" s="5">
        <v>41457</v>
      </c>
      <c r="E90" s="5">
        <v>85250</v>
      </c>
      <c r="F90" s="5">
        <v>76102</v>
      </c>
    </row>
    <row r="91" spans="1:6" x14ac:dyDescent="0.25">
      <c r="A91" s="8" t="s">
        <v>79</v>
      </c>
      <c r="B91" s="9">
        <v>15</v>
      </c>
      <c r="C91" s="9" t="s">
        <v>998</v>
      </c>
      <c r="D91" s="9" t="s">
        <v>826</v>
      </c>
      <c r="E91" s="9" t="s">
        <v>999</v>
      </c>
      <c r="F91" s="9" t="s">
        <v>828</v>
      </c>
    </row>
    <row r="92" spans="1:6" x14ac:dyDescent="0.25">
      <c r="A92" s="4" t="s">
        <v>82</v>
      </c>
      <c r="B92" s="5">
        <v>0</v>
      </c>
      <c r="C92" s="5">
        <v>17429</v>
      </c>
      <c r="D92" s="5">
        <v>13971</v>
      </c>
      <c r="E92" s="5">
        <v>27471</v>
      </c>
      <c r="F92" s="5">
        <v>24015</v>
      </c>
    </row>
    <row r="93" spans="1:6" x14ac:dyDescent="0.25">
      <c r="A93" s="8" t="s">
        <v>83</v>
      </c>
      <c r="B93" s="9">
        <v>17</v>
      </c>
      <c r="C93" s="9" t="s">
        <v>1000</v>
      </c>
      <c r="D93" s="9" t="s">
        <v>830</v>
      </c>
      <c r="E93" s="9" t="s">
        <v>1001</v>
      </c>
      <c r="F93" s="9" t="s">
        <v>831</v>
      </c>
    </row>
    <row r="94" spans="1:6" x14ac:dyDescent="0.25">
      <c r="A94" s="6" t="s">
        <v>86</v>
      </c>
      <c r="B94" s="7">
        <v>16</v>
      </c>
      <c r="C94" s="7" t="s">
        <v>1002</v>
      </c>
      <c r="D94" s="7" t="s">
        <v>832</v>
      </c>
      <c r="E94" s="7" t="s">
        <v>1003</v>
      </c>
      <c r="F94" s="7" t="s">
        <v>834</v>
      </c>
    </row>
    <row r="95" spans="1:6" x14ac:dyDescent="0.25">
      <c r="A95" s="8" t="s">
        <v>90</v>
      </c>
      <c r="B95" s="9">
        <v>0</v>
      </c>
      <c r="C95" s="9">
        <v>267</v>
      </c>
      <c r="D95" s="9">
        <v>637</v>
      </c>
      <c r="E95" s="9">
        <v>401</v>
      </c>
      <c r="F95" s="9">
        <v>761</v>
      </c>
    </row>
    <row r="96" spans="1:6" x14ac:dyDescent="0.25">
      <c r="A96" s="6" t="s">
        <v>91</v>
      </c>
      <c r="B96" s="7">
        <v>0</v>
      </c>
      <c r="C96" s="7" t="s">
        <v>1004</v>
      </c>
      <c r="D96" s="7" t="s">
        <v>746</v>
      </c>
      <c r="E96" s="7" t="s">
        <v>935</v>
      </c>
      <c r="F96" s="7" t="s">
        <v>836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4480</v>
      </c>
      <c r="D98" s="5">
        <v>2452</v>
      </c>
      <c r="E98" s="5">
        <v>718</v>
      </c>
      <c r="F98" s="5" t="s">
        <v>837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136</v>
      </c>
      <c r="D100" s="7">
        <v>121</v>
      </c>
      <c r="E100" s="7">
        <v>268</v>
      </c>
      <c r="F100" s="7">
        <v>257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1005</v>
      </c>
      <c r="D102" s="7" t="s">
        <v>838</v>
      </c>
      <c r="E102" s="7" t="s">
        <v>1006</v>
      </c>
      <c r="F102" s="7" t="s">
        <v>839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>
        <v>2599</v>
      </c>
      <c r="D105" s="9" t="s">
        <v>840</v>
      </c>
      <c r="E105" s="9">
        <v>7756</v>
      </c>
      <c r="F105" s="9" t="s">
        <v>841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1806</v>
      </c>
      <c r="D110" s="5" t="s">
        <v>842</v>
      </c>
      <c r="E110" s="5" t="s">
        <v>1007</v>
      </c>
      <c r="F110" s="5" t="s">
        <v>843</v>
      </c>
    </row>
    <row r="111" spans="1:6" x14ac:dyDescent="0.25">
      <c r="A111" s="8" t="s">
        <v>530</v>
      </c>
      <c r="B111" s="9">
        <v>0</v>
      </c>
      <c r="C111" s="9" t="s">
        <v>1008</v>
      </c>
      <c r="D111" s="9" t="s">
        <v>844</v>
      </c>
      <c r="E111" s="9" t="s">
        <v>1009</v>
      </c>
      <c r="F111" s="9" t="s">
        <v>845</v>
      </c>
    </row>
    <row r="112" spans="1:6" x14ac:dyDescent="0.25">
      <c r="A112" s="6" t="s">
        <v>531</v>
      </c>
      <c r="B112" s="7">
        <v>0</v>
      </c>
      <c r="C112" s="7">
        <v>1684</v>
      </c>
      <c r="D112" s="7" t="s">
        <v>846</v>
      </c>
      <c r="E112" s="7" t="s">
        <v>1010</v>
      </c>
      <c r="F112" s="7" t="s">
        <v>847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1684</v>
      </c>
      <c r="D114" s="5" t="s">
        <v>846</v>
      </c>
      <c r="E114" s="5" t="s">
        <v>1010</v>
      </c>
      <c r="F114" s="5" t="s">
        <v>847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2.8000000000000001E-2</v>
      </c>
      <c r="D117" s="9" t="s">
        <v>1011</v>
      </c>
      <c r="E117" s="9" t="s">
        <v>1012</v>
      </c>
      <c r="F117" s="9" t="s">
        <v>1013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2.8000000000000001E-2</v>
      </c>
      <c r="D119" s="9" t="s">
        <v>1011</v>
      </c>
      <c r="E119" s="9" t="s">
        <v>1012</v>
      </c>
      <c r="F119" s="9" t="s">
        <v>1013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803</v>
      </c>
      <c r="B134" s="7">
        <v>61450</v>
      </c>
      <c r="C134" s="7">
        <v>0</v>
      </c>
      <c r="D134" s="7">
        <v>0</v>
      </c>
      <c r="E134" s="7">
        <v>0</v>
      </c>
      <c r="F134" s="7">
        <v>2414</v>
      </c>
      <c r="G134" s="7">
        <v>39708</v>
      </c>
      <c r="H134" s="7">
        <v>0</v>
      </c>
      <c r="I134" s="7">
        <v>0</v>
      </c>
      <c r="J134" s="7">
        <v>0</v>
      </c>
      <c r="K134" s="7" t="s">
        <v>730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730</v>
      </c>
      <c r="X134" s="7">
        <v>102197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2414</v>
      </c>
      <c r="G137" s="9">
        <v>39708</v>
      </c>
      <c r="H137" s="9">
        <v>0</v>
      </c>
      <c r="I137" s="9">
        <v>0</v>
      </c>
      <c r="J137" s="9">
        <v>0</v>
      </c>
      <c r="K137" s="9" t="s">
        <v>730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730</v>
      </c>
      <c r="X137" s="9">
        <v>102197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847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847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309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309</v>
      </c>
      <c r="X141" s="9">
        <v>309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847</v>
      </c>
      <c r="H142" s="7">
        <v>0</v>
      </c>
      <c r="I142" s="7">
        <v>0</v>
      </c>
      <c r="J142" s="7">
        <v>0</v>
      </c>
      <c r="K142" s="7">
        <v>309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309</v>
      </c>
      <c r="X142" s="7" t="s">
        <v>851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805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805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541</v>
      </c>
      <c r="G155" s="9" t="s">
        <v>806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541</v>
      </c>
      <c r="G156" s="7" t="s">
        <v>852</v>
      </c>
      <c r="H156" s="7">
        <v>0</v>
      </c>
      <c r="I156" s="7">
        <v>0</v>
      </c>
      <c r="J156" s="7">
        <v>0</v>
      </c>
      <c r="K156" s="7">
        <v>309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309</v>
      </c>
      <c r="X156" s="7" t="s">
        <v>853</v>
      </c>
    </row>
    <row r="157" spans="1:24" x14ac:dyDescent="0.25">
      <c r="A157" s="8" t="s">
        <v>854</v>
      </c>
      <c r="B157" s="9">
        <v>61450</v>
      </c>
      <c r="C157" s="9">
        <v>0</v>
      </c>
      <c r="D157" s="9">
        <v>0</v>
      </c>
      <c r="E157" s="9">
        <v>0</v>
      </c>
      <c r="F157" s="9">
        <v>2955</v>
      </c>
      <c r="G157" s="9">
        <v>26419</v>
      </c>
      <c r="H157" s="9">
        <v>0</v>
      </c>
      <c r="I157" s="9">
        <v>0</v>
      </c>
      <c r="J157" s="9">
        <v>0</v>
      </c>
      <c r="K157" s="9" t="s">
        <v>823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823</v>
      </c>
      <c r="X157" s="9">
        <v>89758</v>
      </c>
    </row>
    <row r="158" spans="1:24" x14ac:dyDescent="0.25">
      <c r="A158" s="6" t="s">
        <v>980</v>
      </c>
      <c r="B158" s="7">
        <v>61450</v>
      </c>
      <c r="C158" s="7">
        <v>0</v>
      </c>
      <c r="D158" s="7">
        <v>0</v>
      </c>
      <c r="E158" s="7">
        <v>0</v>
      </c>
      <c r="F158" s="7">
        <v>2955</v>
      </c>
      <c r="G158" s="7">
        <v>26485</v>
      </c>
      <c r="H158" s="7">
        <v>0</v>
      </c>
      <c r="I158" s="7">
        <v>0</v>
      </c>
      <c r="J158" s="7">
        <v>0</v>
      </c>
      <c r="K158" s="7" t="s">
        <v>967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967</v>
      </c>
      <c r="X158" s="7">
        <v>90039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2955</v>
      </c>
      <c r="G161" s="9">
        <v>26485</v>
      </c>
      <c r="H161" s="9">
        <v>0</v>
      </c>
      <c r="I161" s="9">
        <v>0</v>
      </c>
      <c r="J161" s="9">
        <v>0</v>
      </c>
      <c r="K161" s="9" t="s">
        <v>967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967</v>
      </c>
      <c r="X161" s="9">
        <v>90039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1010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1010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403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403</v>
      </c>
      <c r="X165" s="9">
        <v>403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1010</v>
      </c>
      <c r="H166" s="7">
        <v>0</v>
      </c>
      <c r="I166" s="7">
        <v>0</v>
      </c>
      <c r="J166" s="7">
        <v>0</v>
      </c>
      <c r="K166" s="7">
        <v>403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403</v>
      </c>
      <c r="X166" s="7" t="s">
        <v>1014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80</v>
      </c>
      <c r="G179" s="9" t="s">
        <v>384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80</v>
      </c>
      <c r="G180" s="7" t="s">
        <v>1015</v>
      </c>
      <c r="H180" s="7">
        <v>0</v>
      </c>
      <c r="I180" s="7">
        <v>0</v>
      </c>
      <c r="J180" s="7">
        <v>0</v>
      </c>
      <c r="K180" s="7">
        <v>403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403</v>
      </c>
      <c r="X180" s="7" t="s">
        <v>1014</v>
      </c>
    </row>
    <row r="181" spans="1:24" x14ac:dyDescent="0.25">
      <c r="A181" s="8" t="s">
        <v>1016</v>
      </c>
      <c r="B181" s="9">
        <v>61450</v>
      </c>
      <c r="C181" s="9">
        <v>0</v>
      </c>
      <c r="D181" s="9">
        <v>0</v>
      </c>
      <c r="E181" s="9">
        <v>0</v>
      </c>
      <c r="F181" s="9">
        <v>3035</v>
      </c>
      <c r="G181" s="9">
        <v>24214</v>
      </c>
      <c r="H181" s="9">
        <v>0</v>
      </c>
      <c r="I181" s="9">
        <v>0</v>
      </c>
      <c r="J181" s="9">
        <v>0</v>
      </c>
      <c r="K181" s="9" t="s">
        <v>995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995</v>
      </c>
      <c r="X181" s="9">
        <v>88251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1017</v>
      </c>
      <c r="D185" s="3" t="s">
        <v>855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78741</v>
      </c>
      <c r="D188" s="7">
        <v>71153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1018</v>
      </c>
      <c r="D194" s="7" t="s">
        <v>856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1019</v>
      </c>
      <c r="D196" s="7" t="s">
        <v>857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1020</v>
      </c>
      <c r="D198" s="7" t="s">
        <v>858</v>
      </c>
    </row>
    <row r="199" spans="1:4" x14ac:dyDescent="0.25">
      <c r="A199" s="8" t="s">
        <v>591</v>
      </c>
      <c r="B199" s="9">
        <v>0</v>
      </c>
      <c r="C199" s="9">
        <v>1639</v>
      </c>
      <c r="D199" s="9">
        <v>2869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1639</v>
      </c>
      <c r="D206" s="5">
        <v>2869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1021</v>
      </c>
      <c r="D229" s="9" t="s">
        <v>859</v>
      </c>
    </row>
    <row r="230" spans="1:4" x14ac:dyDescent="0.25">
      <c r="A230" s="6" t="s">
        <v>224</v>
      </c>
      <c r="B230" s="7">
        <v>0</v>
      </c>
      <c r="C230" s="7" t="s">
        <v>712</v>
      </c>
      <c r="D230" s="7">
        <v>0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 t="s">
        <v>860</v>
      </c>
    </row>
    <row r="234" spans="1:4" x14ac:dyDescent="0.25">
      <c r="A234" s="4" t="s">
        <v>618</v>
      </c>
      <c r="B234" s="5">
        <v>0</v>
      </c>
      <c r="C234" s="5" t="s">
        <v>1022</v>
      </c>
      <c r="D234" s="5" t="s">
        <v>861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38958</v>
      </c>
      <c r="D237" s="9">
        <v>44704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1023</v>
      </c>
      <c r="D244" s="7" t="s">
        <v>862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950</v>
      </c>
      <c r="D250" s="7" t="s">
        <v>863</v>
      </c>
    </row>
    <row r="251" spans="1:4" x14ac:dyDescent="0.25">
      <c r="A251" s="8" t="s">
        <v>629</v>
      </c>
      <c r="B251" s="9">
        <v>0</v>
      </c>
      <c r="C251" s="9" t="s">
        <v>991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6081</v>
      </c>
      <c r="D254" s="5">
        <v>9595</v>
      </c>
    </row>
    <row r="255" spans="1:4" x14ac:dyDescent="0.25">
      <c r="A255" s="8" t="s">
        <v>250</v>
      </c>
      <c r="B255" s="9">
        <v>0</v>
      </c>
      <c r="C255" s="9">
        <v>1936</v>
      </c>
      <c r="D255" s="9" t="s">
        <v>864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>
        <v>1936</v>
      </c>
      <c r="D257" s="9" t="s">
        <v>864</v>
      </c>
    </row>
    <row r="258" spans="1:6" x14ac:dyDescent="0.25">
      <c r="A258" s="6" t="s">
        <v>255</v>
      </c>
      <c r="B258" s="7">
        <v>3</v>
      </c>
      <c r="C258" s="7">
        <v>3308</v>
      </c>
      <c r="D258" s="7">
        <v>14624</v>
      </c>
    </row>
    <row r="259" spans="1:6" x14ac:dyDescent="0.25">
      <c r="A259" s="4" t="s">
        <v>256</v>
      </c>
      <c r="B259" s="5">
        <v>3</v>
      </c>
      <c r="C259" s="5">
        <v>5244</v>
      </c>
      <c r="D259" s="5">
        <v>6432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996</v>
      </c>
      <c r="D263" s="3" t="s">
        <v>824</v>
      </c>
      <c r="E263" s="3" t="s">
        <v>997</v>
      </c>
      <c r="F263" s="3" t="s">
        <v>825</v>
      </c>
    </row>
    <row r="264" spans="1:6" x14ac:dyDescent="0.25">
      <c r="A264" s="6" t="s">
        <v>258</v>
      </c>
      <c r="B264" s="7">
        <v>0</v>
      </c>
      <c r="C264" s="7">
        <v>1684</v>
      </c>
      <c r="D264" s="7" t="s">
        <v>846</v>
      </c>
      <c r="E264" s="7" t="s">
        <v>1010</v>
      </c>
      <c r="F264" s="7" t="s">
        <v>847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182</v>
      </c>
      <c r="D269" s="9">
        <v>89</v>
      </c>
      <c r="E269" s="9">
        <v>403</v>
      </c>
      <c r="F269" s="9">
        <v>309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182</v>
      </c>
      <c r="D272" s="7">
        <v>89</v>
      </c>
      <c r="E272" s="7">
        <v>403</v>
      </c>
      <c r="F272" s="7">
        <v>309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182</v>
      </c>
      <c r="D303" s="5">
        <v>89</v>
      </c>
      <c r="E303" s="5">
        <v>403</v>
      </c>
      <c r="F303" s="5">
        <v>309</v>
      </c>
    </row>
    <row r="304" spans="1:6" x14ac:dyDescent="0.25">
      <c r="A304" s="4" t="s">
        <v>671</v>
      </c>
      <c r="B304" s="5">
        <v>0</v>
      </c>
      <c r="C304" s="5">
        <v>1866</v>
      </c>
      <c r="D304" s="5" t="s">
        <v>865</v>
      </c>
      <c r="E304" s="5" t="s">
        <v>1014</v>
      </c>
      <c r="F304" s="5" t="s">
        <v>851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43677.650486111103</v>
      </c>
    </row>
    <row r="311" spans="1:2" x14ac:dyDescent="0.25">
      <c r="A311" s="8" t="s">
        <v>277</v>
      </c>
      <c r="B311" s="10">
        <v>43677.649502314802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43677.6496064815</v>
      </c>
    </row>
    <row r="314" spans="1:2" x14ac:dyDescent="0.25">
      <c r="A314" s="6" t="s">
        <v>276</v>
      </c>
      <c r="B314" s="11">
        <v>43677.650659722203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43677.650775463</v>
      </c>
    </row>
    <row r="317" spans="1:2" x14ac:dyDescent="0.25">
      <c r="A317" s="8" t="s">
        <v>277</v>
      </c>
      <c r="B317" s="10">
        <v>43677.6496990741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43677.649803240703</v>
      </c>
    </row>
    <row r="320" spans="1:2" x14ac:dyDescent="0.25">
      <c r="A320" s="6" t="s">
        <v>276</v>
      </c>
      <c r="B320" s="11">
        <v>43677.650879629597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C1C6-206C-48ED-B36F-F85CB57F8BAE}">
  <dimension ref="A1:X320"/>
  <sheetViews>
    <sheetView topLeftCell="A236" workbookViewId="0">
      <selection activeCell="C259" sqref="C186:C259"/>
    </sheetView>
  </sheetViews>
  <sheetFormatPr defaultRowHeight="15" x14ac:dyDescent="0.25"/>
  <cols>
    <col min="1" max="1" width="50.7109375" customWidth="1"/>
    <col min="2" max="2" width="17.28515625" customWidth="1"/>
    <col min="3" max="4" width="49" customWidth="1"/>
    <col min="5" max="6" width="51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1024</v>
      </c>
    </row>
    <row r="3" spans="1:4" x14ac:dyDescent="0.25">
      <c r="A3" t="s">
        <v>964</v>
      </c>
    </row>
    <row r="4" spans="1:4" x14ac:dyDescent="0.25">
      <c r="A4" t="s">
        <v>353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1025</v>
      </c>
      <c r="D9" s="3" t="s">
        <v>909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10518</v>
      </c>
      <c r="D12" s="7">
        <v>3308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22815</v>
      </c>
      <c r="D14" s="7">
        <v>29841</v>
      </c>
    </row>
    <row r="15" spans="1:4" x14ac:dyDescent="0.25">
      <c r="A15" s="8" t="s">
        <v>31</v>
      </c>
      <c r="B15" s="9">
        <v>4</v>
      </c>
      <c r="C15" s="9">
        <v>12626</v>
      </c>
      <c r="D15" s="9">
        <v>9993</v>
      </c>
    </row>
    <row r="16" spans="1:4" x14ac:dyDescent="0.25">
      <c r="A16" s="6" t="s">
        <v>18</v>
      </c>
      <c r="B16" s="7">
        <v>0</v>
      </c>
      <c r="C16" s="7">
        <v>4965</v>
      </c>
      <c r="D16" s="7">
        <v>12629</v>
      </c>
    </row>
    <row r="17" spans="1:4" x14ac:dyDescent="0.25">
      <c r="A17" s="8" t="s">
        <v>32</v>
      </c>
      <c r="B17" s="9">
        <v>0</v>
      </c>
      <c r="C17" s="9">
        <v>5224</v>
      </c>
      <c r="D17" s="9">
        <v>7219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2216</v>
      </c>
      <c r="D19" s="9">
        <v>2037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4933</v>
      </c>
      <c r="D22" s="7">
        <v>3687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40482</v>
      </c>
      <c r="D24" s="7">
        <v>38873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40482</v>
      </c>
      <c r="D26" s="5">
        <v>38873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6491</v>
      </c>
      <c r="D30" s="7">
        <v>6523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2189</v>
      </c>
      <c r="D32" s="7">
        <v>1946</v>
      </c>
    </row>
    <row r="33" spans="1:4" x14ac:dyDescent="0.25">
      <c r="A33" s="8" t="s">
        <v>32</v>
      </c>
      <c r="B33" s="9">
        <v>0</v>
      </c>
      <c r="C33" s="9">
        <v>4302</v>
      </c>
      <c r="D33" s="9">
        <v>4577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372629</v>
      </c>
      <c r="D38" s="7">
        <v>210350</v>
      </c>
    </row>
    <row r="39" spans="1:4" x14ac:dyDescent="0.25">
      <c r="A39" s="8" t="s">
        <v>497</v>
      </c>
      <c r="B39" s="9">
        <v>8</v>
      </c>
      <c r="C39" s="9">
        <v>12624</v>
      </c>
      <c r="D39" s="9">
        <v>13231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404550</v>
      </c>
      <c r="D45" s="5">
        <v>242910</v>
      </c>
    </row>
    <row r="46" spans="1:4" x14ac:dyDescent="0.25">
      <c r="A46" s="4" t="s">
        <v>39</v>
      </c>
      <c r="B46" s="5">
        <v>0</v>
      </c>
      <c r="C46" s="5">
        <v>445032</v>
      </c>
      <c r="D46" s="5">
        <v>281783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45827</v>
      </c>
      <c r="D49" s="9">
        <v>131980</v>
      </c>
    </row>
    <row r="50" spans="1:4" x14ac:dyDescent="0.25">
      <c r="A50" s="6" t="s">
        <v>501</v>
      </c>
      <c r="B50" s="7">
        <v>0</v>
      </c>
      <c r="C50" s="7">
        <v>36174</v>
      </c>
      <c r="D50" s="7">
        <v>43612</v>
      </c>
    </row>
    <row r="51" spans="1:4" x14ac:dyDescent="0.25">
      <c r="A51" s="8" t="s">
        <v>44</v>
      </c>
      <c r="B51" s="9">
        <v>10</v>
      </c>
      <c r="C51" s="9">
        <v>21456</v>
      </c>
      <c r="D51" s="9">
        <v>23718</v>
      </c>
    </row>
    <row r="52" spans="1:4" x14ac:dyDescent="0.25">
      <c r="A52" s="6" t="s">
        <v>46</v>
      </c>
      <c r="B52" s="7">
        <v>0</v>
      </c>
      <c r="C52" s="7">
        <v>673</v>
      </c>
      <c r="D52" s="7">
        <v>620</v>
      </c>
    </row>
    <row r="53" spans="1:4" x14ac:dyDescent="0.25">
      <c r="A53" s="8" t="s">
        <v>45</v>
      </c>
      <c r="B53" s="9">
        <v>11</v>
      </c>
      <c r="C53" s="9">
        <v>14045</v>
      </c>
      <c r="D53" s="9">
        <v>19274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82001</v>
      </c>
      <c r="D59" s="9">
        <v>175592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82001</v>
      </c>
      <c r="D61" s="5">
        <v>175592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268363</v>
      </c>
      <c r="D63" s="9">
        <v>122</v>
      </c>
    </row>
    <row r="64" spans="1:4" x14ac:dyDescent="0.25">
      <c r="A64" s="6" t="s">
        <v>501</v>
      </c>
      <c r="B64" s="7">
        <v>0</v>
      </c>
      <c r="C64" s="7">
        <v>5659</v>
      </c>
      <c r="D64" s="7">
        <v>7809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1324</v>
      </c>
      <c r="D66" s="7">
        <v>1324</v>
      </c>
    </row>
    <row r="67" spans="1:4" x14ac:dyDescent="0.25">
      <c r="A67" s="8" t="s">
        <v>45</v>
      </c>
      <c r="B67" s="9">
        <v>11</v>
      </c>
      <c r="C67" s="9">
        <v>4335</v>
      </c>
      <c r="D67" s="9">
        <v>6485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12</v>
      </c>
      <c r="C71" s="9">
        <v>8397</v>
      </c>
      <c r="D71" s="9">
        <v>8221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282419</v>
      </c>
      <c r="D74" s="5">
        <v>16152</v>
      </c>
    </row>
    <row r="75" spans="1:4" x14ac:dyDescent="0.25">
      <c r="A75" s="4" t="s">
        <v>60</v>
      </c>
      <c r="B75" s="5">
        <v>0</v>
      </c>
      <c r="C75" s="5">
        <v>364420</v>
      </c>
      <c r="D75" s="5">
        <v>191744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0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3035</v>
      </c>
      <c r="D81" s="9">
        <v>2955</v>
      </c>
    </row>
    <row r="82" spans="1:6" x14ac:dyDescent="0.25">
      <c r="A82" s="6" t="s">
        <v>67</v>
      </c>
      <c r="B82" s="7">
        <v>0</v>
      </c>
      <c r="C82" s="7">
        <v>16461</v>
      </c>
      <c r="D82" s="7">
        <v>26485</v>
      </c>
    </row>
    <row r="83" spans="1:6" x14ac:dyDescent="0.25">
      <c r="A83" s="8" t="s">
        <v>68</v>
      </c>
      <c r="B83" s="9">
        <v>0</v>
      </c>
      <c r="C83" s="9" t="s">
        <v>1026</v>
      </c>
      <c r="D83" s="9" t="s">
        <v>967</v>
      </c>
    </row>
    <row r="84" spans="1:6" x14ac:dyDescent="0.25">
      <c r="A84" s="4" t="s">
        <v>71</v>
      </c>
      <c r="B84" s="5">
        <v>0</v>
      </c>
      <c r="C84" s="5">
        <v>80612</v>
      </c>
      <c r="D84" s="5">
        <v>90039</v>
      </c>
    </row>
    <row r="85" spans="1:6" x14ac:dyDescent="0.25">
      <c r="A85" s="4" t="s">
        <v>72</v>
      </c>
      <c r="B85" s="5">
        <v>0</v>
      </c>
      <c r="C85" s="5">
        <v>445032</v>
      </c>
      <c r="D85" s="5">
        <v>281783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1027</v>
      </c>
      <c r="D89" s="3" t="s">
        <v>869</v>
      </c>
      <c r="E89" s="3" t="s">
        <v>1028</v>
      </c>
      <c r="F89" s="3" t="s">
        <v>870</v>
      </c>
    </row>
    <row r="90" spans="1:6" x14ac:dyDescent="0.25">
      <c r="A90" s="4" t="s">
        <v>510</v>
      </c>
      <c r="B90" s="5">
        <v>0</v>
      </c>
      <c r="C90" s="5">
        <v>52862</v>
      </c>
      <c r="D90" s="5">
        <v>47769</v>
      </c>
      <c r="E90" s="5">
        <v>138112</v>
      </c>
      <c r="F90" s="5">
        <v>123871</v>
      </c>
    </row>
    <row r="91" spans="1:6" x14ac:dyDescent="0.25">
      <c r="A91" s="8" t="s">
        <v>79</v>
      </c>
      <c r="B91" s="9">
        <v>15</v>
      </c>
      <c r="C91" s="9" t="s">
        <v>1029</v>
      </c>
      <c r="D91" s="9" t="s">
        <v>871</v>
      </c>
      <c r="E91" s="9" t="s">
        <v>1030</v>
      </c>
      <c r="F91" s="9" t="s">
        <v>873</v>
      </c>
    </row>
    <row r="92" spans="1:6" x14ac:dyDescent="0.25">
      <c r="A92" s="4" t="s">
        <v>82</v>
      </c>
      <c r="B92" s="5">
        <v>0</v>
      </c>
      <c r="C92" s="5">
        <v>20081</v>
      </c>
      <c r="D92" s="5">
        <v>17863</v>
      </c>
      <c r="E92" s="5">
        <v>47552</v>
      </c>
      <c r="F92" s="5">
        <v>41878</v>
      </c>
    </row>
    <row r="93" spans="1:6" x14ac:dyDescent="0.25">
      <c r="A93" s="8" t="s">
        <v>83</v>
      </c>
      <c r="B93" s="9">
        <v>17</v>
      </c>
      <c r="C93" s="9" t="s">
        <v>1031</v>
      </c>
      <c r="D93" s="9" t="s">
        <v>875</v>
      </c>
      <c r="E93" s="9" t="s">
        <v>1032</v>
      </c>
      <c r="F93" s="9" t="s">
        <v>876</v>
      </c>
    </row>
    <row r="94" spans="1:6" x14ac:dyDescent="0.25">
      <c r="A94" s="6" t="s">
        <v>86</v>
      </c>
      <c r="B94" s="7">
        <v>16</v>
      </c>
      <c r="C94" s="7" t="s">
        <v>1033</v>
      </c>
      <c r="D94" s="7" t="s">
        <v>877</v>
      </c>
      <c r="E94" s="7" t="s">
        <v>1034</v>
      </c>
      <c r="F94" s="7" t="s">
        <v>879</v>
      </c>
    </row>
    <row r="95" spans="1:6" x14ac:dyDescent="0.25">
      <c r="A95" s="8" t="s">
        <v>90</v>
      </c>
      <c r="B95" s="9">
        <v>0</v>
      </c>
      <c r="C95" s="9">
        <v>253</v>
      </c>
      <c r="D95" s="9">
        <v>968</v>
      </c>
      <c r="E95" s="9">
        <v>654</v>
      </c>
      <c r="F95" s="9">
        <v>1729</v>
      </c>
    </row>
    <row r="96" spans="1:6" x14ac:dyDescent="0.25">
      <c r="A96" s="6" t="s">
        <v>91</v>
      </c>
      <c r="B96" s="7">
        <v>0</v>
      </c>
      <c r="C96" s="7" t="s">
        <v>1035</v>
      </c>
      <c r="D96" s="7" t="s">
        <v>881</v>
      </c>
      <c r="E96" s="7" t="s">
        <v>1036</v>
      </c>
      <c r="F96" s="7" t="s">
        <v>882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7078</v>
      </c>
      <c r="D98" s="5">
        <v>5943</v>
      </c>
      <c r="E98" s="5">
        <v>7796</v>
      </c>
      <c r="F98" s="5">
        <v>5470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 t="s">
        <v>486</v>
      </c>
      <c r="D100" s="7">
        <v>197</v>
      </c>
      <c r="E100" s="7">
        <v>267</v>
      </c>
      <c r="F100" s="7">
        <v>454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1037</v>
      </c>
      <c r="D102" s="7" t="s">
        <v>883</v>
      </c>
      <c r="E102" s="7" t="s">
        <v>1038</v>
      </c>
      <c r="F102" s="7" t="s">
        <v>884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 t="s">
        <v>1039</v>
      </c>
      <c r="D105" s="9" t="s">
        <v>885</v>
      </c>
      <c r="E105" s="9" t="s">
        <v>1040</v>
      </c>
      <c r="F105" s="9" t="s">
        <v>886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1041</v>
      </c>
      <c r="D110" s="5">
        <v>2293</v>
      </c>
      <c r="E110" s="5" t="s">
        <v>1042</v>
      </c>
      <c r="F110" s="5" t="s">
        <v>887</v>
      </c>
    </row>
    <row r="111" spans="1:6" x14ac:dyDescent="0.25">
      <c r="A111" s="8" t="s">
        <v>530</v>
      </c>
      <c r="B111" s="9">
        <v>0</v>
      </c>
      <c r="C111" s="9" t="s">
        <v>1043</v>
      </c>
      <c r="D111" s="9" t="s">
        <v>844</v>
      </c>
      <c r="E111" s="9" t="s">
        <v>1044</v>
      </c>
      <c r="F111" s="9" t="s">
        <v>888</v>
      </c>
    </row>
    <row r="112" spans="1:6" x14ac:dyDescent="0.25">
      <c r="A112" s="6" t="s">
        <v>531</v>
      </c>
      <c r="B112" s="7">
        <v>0</v>
      </c>
      <c r="C112" s="7" t="s">
        <v>1045</v>
      </c>
      <c r="D112" s="7">
        <v>2113</v>
      </c>
      <c r="E112" s="7" t="s">
        <v>1046</v>
      </c>
      <c r="F112" s="7" t="s">
        <v>889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1045</v>
      </c>
      <c r="D114" s="5">
        <v>2113</v>
      </c>
      <c r="E114" s="5" t="s">
        <v>1046</v>
      </c>
      <c r="F114" s="5" t="s">
        <v>889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1047</v>
      </c>
      <c r="D117" s="9">
        <v>3.5000000000000003E-2</v>
      </c>
      <c r="E117" s="9" t="s">
        <v>1048</v>
      </c>
      <c r="F117" s="9" t="s">
        <v>1049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1047</v>
      </c>
      <c r="D119" s="9">
        <v>3.5000000000000003E-2</v>
      </c>
      <c r="E119" s="9" t="s">
        <v>1048</v>
      </c>
      <c r="F119" s="9" t="s">
        <v>1049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803</v>
      </c>
      <c r="B134" s="7">
        <v>61450</v>
      </c>
      <c r="C134" s="7">
        <v>0</v>
      </c>
      <c r="D134" s="7">
        <v>0</v>
      </c>
      <c r="E134" s="7">
        <v>0</v>
      </c>
      <c r="F134" s="7">
        <v>2414</v>
      </c>
      <c r="G134" s="7">
        <v>39708</v>
      </c>
      <c r="H134" s="7">
        <v>0</v>
      </c>
      <c r="I134" s="7">
        <v>0</v>
      </c>
      <c r="J134" s="7">
        <v>0</v>
      </c>
      <c r="K134" s="7" t="s">
        <v>730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730</v>
      </c>
      <c r="X134" s="7">
        <v>102197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2414</v>
      </c>
      <c r="G137" s="9">
        <v>39708</v>
      </c>
      <c r="H137" s="9">
        <v>0</v>
      </c>
      <c r="I137" s="9">
        <v>0</v>
      </c>
      <c r="J137" s="9">
        <v>0</v>
      </c>
      <c r="K137" s="9" t="s">
        <v>730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730</v>
      </c>
      <c r="X137" s="9">
        <v>102197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889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889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422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422</v>
      </c>
      <c r="X141" s="9">
        <v>422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889</v>
      </c>
      <c r="H142" s="7">
        <v>0</v>
      </c>
      <c r="I142" s="7">
        <v>0</v>
      </c>
      <c r="J142" s="7">
        <v>0</v>
      </c>
      <c r="K142" s="7">
        <v>422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422</v>
      </c>
      <c r="X142" s="7" t="s">
        <v>891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805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805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541</v>
      </c>
      <c r="G155" s="9" t="s">
        <v>806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541</v>
      </c>
      <c r="G156" s="7" t="s">
        <v>892</v>
      </c>
      <c r="H156" s="7">
        <v>0</v>
      </c>
      <c r="I156" s="7">
        <v>0</v>
      </c>
      <c r="J156" s="7">
        <v>0</v>
      </c>
      <c r="K156" s="7">
        <v>422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422</v>
      </c>
      <c r="X156" s="7" t="s">
        <v>893</v>
      </c>
    </row>
    <row r="157" spans="1:24" x14ac:dyDescent="0.25">
      <c r="A157" s="8" t="s">
        <v>894</v>
      </c>
      <c r="B157" s="9">
        <v>61450</v>
      </c>
      <c r="C157" s="9">
        <v>0</v>
      </c>
      <c r="D157" s="9">
        <v>0</v>
      </c>
      <c r="E157" s="9">
        <v>0</v>
      </c>
      <c r="F157" s="9">
        <v>2955</v>
      </c>
      <c r="G157" s="9">
        <v>28531</v>
      </c>
      <c r="H157" s="9">
        <v>0</v>
      </c>
      <c r="I157" s="9">
        <v>0</v>
      </c>
      <c r="J157" s="9">
        <v>0</v>
      </c>
      <c r="K157" s="9" t="s">
        <v>868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868</v>
      </c>
      <c r="X157" s="9">
        <v>91983</v>
      </c>
    </row>
    <row r="158" spans="1:24" x14ac:dyDescent="0.25">
      <c r="A158" s="6" t="s">
        <v>980</v>
      </c>
      <c r="B158" s="7">
        <v>61450</v>
      </c>
      <c r="C158" s="7">
        <v>0</v>
      </c>
      <c r="D158" s="7">
        <v>0</v>
      </c>
      <c r="E158" s="7">
        <v>0</v>
      </c>
      <c r="F158" s="7">
        <v>2955</v>
      </c>
      <c r="G158" s="7">
        <v>26485</v>
      </c>
      <c r="H158" s="7">
        <v>0</v>
      </c>
      <c r="I158" s="7">
        <v>0</v>
      </c>
      <c r="J158" s="7">
        <v>0</v>
      </c>
      <c r="K158" s="7" t="s">
        <v>967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967</v>
      </c>
      <c r="X158" s="7">
        <v>90039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2955</v>
      </c>
      <c r="G161" s="9">
        <v>26485</v>
      </c>
      <c r="H161" s="9">
        <v>0</v>
      </c>
      <c r="I161" s="9">
        <v>0</v>
      </c>
      <c r="J161" s="9">
        <v>0</v>
      </c>
      <c r="K161" s="9" t="s">
        <v>967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967</v>
      </c>
      <c r="X161" s="9">
        <v>90039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1046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1046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517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517</v>
      </c>
      <c r="X165" s="9">
        <v>517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1046</v>
      </c>
      <c r="H166" s="7">
        <v>0</v>
      </c>
      <c r="I166" s="7">
        <v>0</v>
      </c>
      <c r="J166" s="7">
        <v>0</v>
      </c>
      <c r="K166" s="7">
        <v>517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517</v>
      </c>
      <c r="X166" s="7" t="s">
        <v>1050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80</v>
      </c>
      <c r="G179" s="9" t="s">
        <v>384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80</v>
      </c>
      <c r="G180" s="7" t="s">
        <v>1051</v>
      </c>
      <c r="H180" s="7">
        <v>0</v>
      </c>
      <c r="I180" s="7">
        <v>0</v>
      </c>
      <c r="J180" s="7">
        <v>0</v>
      </c>
      <c r="K180" s="7">
        <v>517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517</v>
      </c>
      <c r="X180" s="7" t="s">
        <v>1050</v>
      </c>
    </row>
    <row r="181" spans="1:24" x14ac:dyDescent="0.25">
      <c r="A181" s="8" t="s">
        <v>1052</v>
      </c>
      <c r="B181" s="9">
        <v>61450</v>
      </c>
      <c r="C181" s="9">
        <v>0</v>
      </c>
      <c r="D181" s="9">
        <v>0</v>
      </c>
      <c r="E181" s="9">
        <v>0</v>
      </c>
      <c r="F181" s="9">
        <v>3035</v>
      </c>
      <c r="G181" s="9">
        <v>16461</v>
      </c>
      <c r="H181" s="9">
        <v>0</v>
      </c>
      <c r="I181" s="9">
        <v>0</v>
      </c>
      <c r="J181" s="9">
        <v>0</v>
      </c>
      <c r="K181" s="9" t="s">
        <v>1026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1026</v>
      </c>
      <c r="X181" s="9">
        <v>80612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1053</v>
      </c>
      <c r="D185" s="3" t="s">
        <v>895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132456</v>
      </c>
      <c r="D188" s="7">
        <v>122392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614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1054</v>
      </c>
      <c r="D194" s="7" t="s">
        <v>896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1055</v>
      </c>
      <c r="D196" s="7" t="s">
        <v>897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1056</v>
      </c>
      <c r="D198" s="7" t="s">
        <v>898</v>
      </c>
    </row>
    <row r="199" spans="1:4" x14ac:dyDescent="0.25">
      <c r="A199" s="8" t="s">
        <v>591</v>
      </c>
      <c r="B199" s="9">
        <v>0</v>
      </c>
      <c r="C199" s="9">
        <v>8678</v>
      </c>
      <c r="D199" s="9">
        <v>14475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8678</v>
      </c>
      <c r="D206" s="5">
        <v>14475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5616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3471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 t="s">
        <v>1057</v>
      </c>
      <c r="D224" s="7" t="s">
        <v>899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1058</v>
      </c>
      <c r="D229" s="9" t="s">
        <v>900</v>
      </c>
    </row>
    <row r="230" spans="1:4" x14ac:dyDescent="0.25">
      <c r="A230" s="6" t="s">
        <v>224</v>
      </c>
      <c r="B230" s="7">
        <v>0</v>
      </c>
      <c r="C230" s="7" t="s">
        <v>1059</v>
      </c>
      <c r="D230" s="7" t="s">
        <v>901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1060</v>
      </c>
      <c r="D234" s="5" t="s">
        <v>902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60449</v>
      </c>
      <c r="D237" s="9">
        <v>44704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1061</v>
      </c>
      <c r="D244" s="7" t="s">
        <v>903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1062</v>
      </c>
      <c r="D250" s="7" t="s">
        <v>904</v>
      </c>
    </row>
    <row r="251" spans="1:4" x14ac:dyDescent="0.25">
      <c r="A251" s="8" t="s">
        <v>629</v>
      </c>
      <c r="B251" s="9">
        <v>0</v>
      </c>
      <c r="C251" s="9" t="s">
        <v>991</v>
      </c>
      <c r="D251" s="9" t="s">
        <v>905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4100</v>
      </c>
      <c r="D254" s="5">
        <v>5752</v>
      </c>
    </row>
    <row r="255" spans="1:4" x14ac:dyDescent="0.25">
      <c r="A255" s="8" t="s">
        <v>250</v>
      </c>
      <c r="B255" s="9">
        <v>0</v>
      </c>
      <c r="C255" s="9">
        <v>7210</v>
      </c>
      <c r="D255" s="9" t="s">
        <v>906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>
        <v>7210</v>
      </c>
      <c r="D257" s="9" t="s">
        <v>906</v>
      </c>
    </row>
    <row r="258" spans="1:6" x14ac:dyDescent="0.25">
      <c r="A258" s="6" t="s">
        <v>255</v>
      </c>
      <c r="B258" s="7">
        <v>3</v>
      </c>
      <c r="C258" s="7">
        <v>3308</v>
      </c>
      <c r="D258" s="7">
        <v>14624</v>
      </c>
    </row>
    <row r="259" spans="1:6" x14ac:dyDescent="0.25">
      <c r="A259" s="4" t="s">
        <v>256</v>
      </c>
      <c r="B259" s="5">
        <v>3</v>
      </c>
      <c r="C259" s="5">
        <v>10518</v>
      </c>
      <c r="D259" s="5">
        <v>4147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1027</v>
      </c>
      <c r="D263" s="3" t="s">
        <v>869</v>
      </c>
      <c r="E263" s="3" t="s">
        <v>1028</v>
      </c>
      <c r="F263" s="3" t="s">
        <v>870</v>
      </c>
    </row>
    <row r="264" spans="1:6" x14ac:dyDescent="0.25">
      <c r="A264" s="6" t="s">
        <v>258</v>
      </c>
      <c r="B264" s="7">
        <v>0</v>
      </c>
      <c r="C264" s="7" t="s">
        <v>1045</v>
      </c>
      <c r="D264" s="7">
        <v>2113</v>
      </c>
      <c r="E264" s="7" t="s">
        <v>1046</v>
      </c>
      <c r="F264" s="7" t="s">
        <v>889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114</v>
      </c>
      <c r="D269" s="9">
        <v>113</v>
      </c>
      <c r="E269" s="9">
        <v>517</v>
      </c>
      <c r="F269" s="9">
        <v>422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114</v>
      </c>
      <c r="D272" s="7">
        <v>113</v>
      </c>
      <c r="E272" s="7">
        <v>517</v>
      </c>
      <c r="F272" s="7">
        <v>422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114</v>
      </c>
      <c r="D303" s="5">
        <v>113</v>
      </c>
      <c r="E303" s="5">
        <v>517</v>
      </c>
      <c r="F303" s="5">
        <v>422</v>
      </c>
    </row>
    <row r="304" spans="1:6" x14ac:dyDescent="0.25">
      <c r="A304" s="4" t="s">
        <v>671</v>
      </c>
      <c r="B304" s="5">
        <v>0</v>
      </c>
      <c r="C304" s="5" t="s">
        <v>1063</v>
      </c>
      <c r="D304" s="5">
        <v>2226</v>
      </c>
      <c r="E304" s="5" t="s">
        <v>1050</v>
      </c>
      <c r="F304" s="5" t="s">
        <v>891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43769.483576388899</v>
      </c>
    </row>
    <row r="311" spans="1:2" x14ac:dyDescent="0.25">
      <c r="A311" s="8" t="s">
        <v>277</v>
      </c>
      <c r="B311" s="10">
        <v>43769.482361111099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43769.482627314799</v>
      </c>
    </row>
    <row r="314" spans="1:2" x14ac:dyDescent="0.25">
      <c r="A314" s="6" t="s">
        <v>276</v>
      </c>
      <c r="B314" s="11">
        <v>43769.483796296299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43769.4839236111</v>
      </c>
    </row>
    <row r="317" spans="1:2" x14ac:dyDescent="0.25">
      <c r="A317" s="8" t="s">
        <v>277</v>
      </c>
      <c r="B317" s="10">
        <v>43769.482719907399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43769.482812499999</v>
      </c>
    </row>
    <row r="320" spans="1:2" x14ac:dyDescent="0.25">
      <c r="A320" s="6" t="s">
        <v>276</v>
      </c>
      <c r="B320" s="11">
        <v>43769.4840625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0C2C-D564-4F01-8037-82F36D4F210C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51" customWidth="1"/>
    <col min="5" max="6" width="50.285156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1064</v>
      </c>
    </row>
    <row r="3" spans="1:4" x14ac:dyDescent="0.25">
      <c r="A3" t="s">
        <v>964</v>
      </c>
    </row>
    <row r="4" spans="1:4" x14ac:dyDescent="0.25">
      <c r="A4" t="s">
        <v>421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1065</v>
      </c>
      <c r="D9" s="3" t="s">
        <v>909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53748</v>
      </c>
      <c r="D12" s="7">
        <v>3308</v>
      </c>
    </row>
    <row r="13" spans="1:4" x14ac:dyDescent="0.25">
      <c r="A13" s="8" t="s">
        <v>14</v>
      </c>
      <c r="B13" s="9">
        <v>0</v>
      </c>
      <c r="C13" s="9">
        <v>204</v>
      </c>
      <c r="D13" s="9">
        <v>0</v>
      </c>
    </row>
    <row r="14" spans="1:4" x14ac:dyDescent="0.25">
      <c r="A14" s="6" t="s">
        <v>491</v>
      </c>
      <c r="B14" s="7">
        <v>0</v>
      </c>
      <c r="C14" s="7">
        <v>14939</v>
      </c>
      <c r="D14" s="7">
        <v>29841</v>
      </c>
    </row>
    <row r="15" spans="1:4" x14ac:dyDescent="0.25">
      <c r="A15" s="8" t="s">
        <v>31</v>
      </c>
      <c r="B15" s="9">
        <v>4</v>
      </c>
      <c r="C15" s="9">
        <v>7699</v>
      </c>
      <c r="D15" s="9">
        <v>9993</v>
      </c>
    </row>
    <row r="16" spans="1:4" x14ac:dyDescent="0.25">
      <c r="A16" s="6" t="s">
        <v>18</v>
      </c>
      <c r="B16" s="7">
        <v>0</v>
      </c>
      <c r="C16" s="7">
        <v>14</v>
      </c>
      <c r="D16" s="7">
        <v>12629</v>
      </c>
    </row>
    <row r="17" spans="1:4" x14ac:dyDescent="0.25">
      <c r="A17" s="8" t="s">
        <v>32</v>
      </c>
      <c r="B17" s="9">
        <v>0</v>
      </c>
      <c r="C17" s="9">
        <v>7226</v>
      </c>
      <c r="D17" s="9">
        <v>7219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2222</v>
      </c>
      <c r="D19" s="9">
        <v>2037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3926</v>
      </c>
      <c r="D22" s="7">
        <v>3687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75039</v>
      </c>
      <c r="D24" s="7">
        <v>38873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75039</v>
      </c>
      <c r="D26" s="5">
        <v>38873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17089</v>
      </c>
      <c r="D30" s="7">
        <v>6523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13529</v>
      </c>
      <c r="D32" s="7">
        <v>1946</v>
      </c>
    </row>
    <row r="33" spans="1:4" x14ac:dyDescent="0.25">
      <c r="A33" s="8" t="s">
        <v>32</v>
      </c>
      <c r="B33" s="9">
        <v>0</v>
      </c>
      <c r="C33" s="9">
        <v>3560</v>
      </c>
      <c r="D33" s="9">
        <v>4577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377119</v>
      </c>
      <c r="D38" s="7">
        <v>210350</v>
      </c>
    </row>
    <row r="39" spans="1:4" x14ac:dyDescent="0.25">
      <c r="A39" s="8" t="s">
        <v>497</v>
      </c>
      <c r="B39" s="9">
        <v>8</v>
      </c>
      <c r="C39" s="9">
        <v>42490</v>
      </c>
      <c r="D39" s="9">
        <v>13231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>
        <v>0</v>
      </c>
      <c r="C43" s="9">
        <v>0</v>
      </c>
      <c r="D43" s="9">
        <v>0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449504</v>
      </c>
      <c r="D45" s="5">
        <v>242910</v>
      </c>
    </row>
    <row r="46" spans="1:4" x14ac:dyDescent="0.25">
      <c r="A46" s="4" t="s">
        <v>39</v>
      </c>
      <c r="B46" s="5">
        <v>0</v>
      </c>
      <c r="C46" s="5">
        <v>524543</v>
      </c>
      <c r="D46" s="5">
        <v>281783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9</v>
      </c>
      <c r="C49" s="9">
        <v>9916</v>
      </c>
      <c r="D49" s="9">
        <v>131980</v>
      </c>
    </row>
    <row r="50" spans="1:4" x14ac:dyDescent="0.25">
      <c r="A50" s="6" t="s">
        <v>501</v>
      </c>
      <c r="B50" s="7">
        <v>0</v>
      </c>
      <c r="C50" s="7">
        <v>41825</v>
      </c>
      <c r="D50" s="7">
        <v>43612</v>
      </c>
    </row>
    <row r="51" spans="1:4" x14ac:dyDescent="0.25">
      <c r="A51" s="8" t="s">
        <v>44</v>
      </c>
      <c r="B51" s="9">
        <v>10</v>
      </c>
      <c r="C51" s="9">
        <v>27811</v>
      </c>
      <c r="D51" s="9">
        <v>23718</v>
      </c>
    </row>
    <row r="52" spans="1:4" x14ac:dyDescent="0.25">
      <c r="A52" s="6" t="s">
        <v>46</v>
      </c>
      <c r="B52" s="7">
        <v>0</v>
      </c>
      <c r="C52" s="7">
        <v>193</v>
      </c>
      <c r="D52" s="7">
        <v>620</v>
      </c>
    </row>
    <row r="53" spans="1:4" x14ac:dyDescent="0.25">
      <c r="A53" s="8" t="s">
        <v>45</v>
      </c>
      <c r="B53" s="9">
        <v>11</v>
      </c>
      <c r="C53" s="9">
        <v>13821</v>
      </c>
      <c r="D53" s="9">
        <v>19274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>
        <v>0</v>
      </c>
      <c r="C58" s="7">
        <v>0</v>
      </c>
      <c r="D58" s="7">
        <v>0</v>
      </c>
    </row>
    <row r="59" spans="1:4" x14ac:dyDescent="0.25">
      <c r="A59" s="8" t="s">
        <v>504</v>
      </c>
      <c r="B59" s="9">
        <v>0</v>
      </c>
      <c r="C59" s="9">
        <v>51741</v>
      </c>
      <c r="D59" s="9">
        <v>175592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51741</v>
      </c>
      <c r="D61" s="5">
        <v>175592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9</v>
      </c>
      <c r="C63" s="9">
        <v>350354</v>
      </c>
      <c r="D63" s="9">
        <v>122</v>
      </c>
    </row>
    <row r="64" spans="1:4" x14ac:dyDescent="0.25">
      <c r="A64" s="6" t="s">
        <v>501</v>
      </c>
      <c r="B64" s="7">
        <v>0</v>
      </c>
      <c r="C64" s="7">
        <v>34998</v>
      </c>
      <c r="D64" s="7">
        <v>7809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1742</v>
      </c>
      <c r="D66" s="7">
        <v>1324</v>
      </c>
    </row>
    <row r="67" spans="1:4" x14ac:dyDescent="0.25">
      <c r="A67" s="8" t="s">
        <v>45</v>
      </c>
      <c r="B67" s="9">
        <v>11</v>
      </c>
      <c r="C67" s="9">
        <v>33256</v>
      </c>
      <c r="D67" s="9">
        <v>6485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12</v>
      </c>
      <c r="C71" s="9">
        <v>8474</v>
      </c>
      <c r="D71" s="9">
        <v>8221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>
        <v>0</v>
      </c>
      <c r="C73" s="9">
        <v>0</v>
      </c>
      <c r="D73" s="9">
        <v>0</v>
      </c>
    </row>
    <row r="74" spans="1:4" x14ac:dyDescent="0.25">
      <c r="A74" s="4" t="s">
        <v>59</v>
      </c>
      <c r="B74" s="5">
        <v>0</v>
      </c>
      <c r="C74" s="5">
        <v>393826</v>
      </c>
      <c r="D74" s="5">
        <v>16152</v>
      </c>
    </row>
    <row r="75" spans="1:4" x14ac:dyDescent="0.25">
      <c r="A75" s="4" t="s">
        <v>60</v>
      </c>
      <c r="B75" s="5">
        <v>0</v>
      </c>
      <c r="C75" s="5">
        <v>445567</v>
      </c>
      <c r="D75" s="5">
        <v>191744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0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3035</v>
      </c>
      <c r="D81" s="9">
        <v>2955</v>
      </c>
    </row>
    <row r="82" spans="1:6" x14ac:dyDescent="0.25">
      <c r="A82" s="6" t="s">
        <v>67</v>
      </c>
      <c r="B82" s="7">
        <v>0</v>
      </c>
      <c r="C82" s="7">
        <v>14641</v>
      </c>
      <c r="D82" s="7">
        <v>26485</v>
      </c>
    </row>
    <row r="83" spans="1:6" x14ac:dyDescent="0.25">
      <c r="A83" s="8" t="s">
        <v>68</v>
      </c>
      <c r="B83" s="9">
        <v>0</v>
      </c>
      <c r="C83" s="9" t="s">
        <v>1066</v>
      </c>
      <c r="D83" s="9" t="s">
        <v>967</v>
      </c>
    </row>
    <row r="84" spans="1:6" x14ac:dyDescent="0.25">
      <c r="A84" s="4" t="s">
        <v>71</v>
      </c>
      <c r="B84" s="5">
        <v>0</v>
      </c>
      <c r="C84" s="5">
        <v>78976</v>
      </c>
      <c r="D84" s="5">
        <v>90039</v>
      </c>
    </row>
    <row r="85" spans="1:6" x14ac:dyDescent="0.25">
      <c r="A85" s="4" t="s">
        <v>72</v>
      </c>
      <c r="B85" s="5">
        <v>0</v>
      </c>
      <c r="C85" s="5">
        <v>524543</v>
      </c>
      <c r="D85" s="5">
        <v>281783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1067</v>
      </c>
      <c r="D89" s="3" t="s">
        <v>911</v>
      </c>
      <c r="E89" s="3" t="s">
        <v>1068</v>
      </c>
      <c r="F89" s="3" t="s">
        <v>912</v>
      </c>
    </row>
    <row r="90" spans="1:6" x14ac:dyDescent="0.25">
      <c r="A90" s="4" t="s">
        <v>510</v>
      </c>
      <c r="B90" s="5">
        <v>0</v>
      </c>
      <c r="C90" s="5">
        <v>45397</v>
      </c>
      <c r="D90" s="5">
        <v>44881</v>
      </c>
      <c r="E90" s="5">
        <v>183509</v>
      </c>
      <c r="F90" s="5">
        <v>168752</v>
      </c>
    </row>
    <row r="91" spans="1:6" x14ac:dyDescent="0.25">
      <c r="A91" s="8" t="s">
        <v>79</v>
      </c>
      <c r="B91" s="9">
        <v>0</v>
      </c>
      <c r="C91" s="9" t="s">
        <v>1069</v>
      </c>
      <c r="D91" s="9" t="s">
        <v>1070</v>
      </c>
      <c r="E91" s="9" t="s">
        <v>1071</v>
      </c>
      <c r="F91" s="9" t="s">
        <v>1072</v>
      </c>
    </row>
    <row r="92" spans="1:6" x14ac:dyDescent="0.25">
      <c r="A92" s="4" t="s">
        <v>82</v>
      </c>
      <c r="B92" s="5">
        <v>0</v>
      </c>
      <c r="C92" s="5">
        <v>14568</v>
      </c>
      <c r="D92" s="5">
        <v>14231</v>
      </c>
      <c r="E92" s="5">
        <v>62120</v>
      </c>
      <c r="F92" s="5">
        <v>56109</v>
      </c>
    </row>
    <row r="93" spans="1:6" x14ac:dyDescent="0.25">
      <c r="A93" s="8" t="s">
        <v>83</v>
      </c>
      <c r="B93" s="9">
        <v>0</v>
      </c>
      <c r="C93" s="9" t="s">
        <v>1073</v>
      </c>
      <c r="D93" s="9" t="s">
        <v>917</v>
      </c>
      <c r="E93" s="9" t="s">
        <v>1074</v>
      </c>
      <c r="F93" s="9" t="s">
        <v>919</v>
      </c>
    </row>
    <row r="94" spans="1:6" x14ac:dyDescent="0.25">
      <c r="A94" s="6" t="s">
        <v>86</v>
      </c>
      <c r="B94" s="7">
        <v>0</v>
      </c>
      <c r="C94" s="7" t="s">
        <v>1075</v>
      </c>
      <c r="D94" s="7" t="s">
        <v>1076</v>
      </c>
      <c r="E94" s="7" t="s">
        <v>1077</v>
      </c>
      <c r="F94" s="7" t="s">
        <v>1078</v>
      </c>
    </row>
    <row r="95" spans="1:6" x14ac:dyDescent="0.25">
      <c r="A95" s="8" t="s">
        <v>90</v>
      </c>
      <c r="B95" s="9">
        <v>0</v>
      </c>
      <c r="C95" s="9">
        <v>1595</v>
      </c>
      <c r="D95" s="9">
        <v>2512</v>
      </c>
      <c r="E95" s="9">
        <v>2249</v>
      </c>
      <c r="F95" s="9">
        <v>4241</v>
      </c>
    </row>
    <row r="96" spans="1:6" x14ac:dyDescent="0.25">
      <c r="A96" s="6" t="s">
        <v>91</v>
      </c>
      <c r="B96" s="7">
        <v>0</v>
      </c>
      <c r="C96" s="7" t="s">
        <v>1079</v>
      </c>
      <c r="D96" s="7" t="s">
        <v>1080</v>
      </c>
      <c r="E96" s="7" t="s">
        <v>1081</v>
      </c>
      <c r="F96" s="7" t="s">
        <v>1082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775</v>
      </c>
      <c r="D98" s="5">
        <v>3007</v>
      </c>
      <c r="E98" s="5">
        <v>8571</v>
      </c>
      <c r="F98" s="5">
        <v>8477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137</v>
      </c>
      <c r="D100" s="7">
        <v>3643</v>
      </c>
      <c r="E100" s="7">
        <v>404</v>
      </c>
      <c r="F100" s="7">
        <v>4097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1083</v>
      </c>
      <c r="D102" s="7" t="s">
        <v>1084</v>
      </c>
      <c r="E102" s="7" t="s">
        <v>1085</v>
      </c>
      <c r="F102" s="7" t="s">
        <v>1086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 t="s">
        <v>1087</v>
      </c>
      <c r="E104" s="7">
        <v>0</v>
      </c>
      <c r="F104" s="7" t="s">
        <v>1087</v>
      </c>
    </row>
    <row r="105" spans="1:6" x14ac:dyDescent="0.25">
      <c r="A105" s="8" t="s">
        <v>523</v>
      </c>
      <c r="B105" s="9">
        <v>0</v>
      </c>
      <c r="C105" s="9">
        <v>3412</v>
      </c>
      <c r="D105" s="9" t="s">
        <v>1088</v>
      </c>
      <c r="E105" s="9">
        <v>2263</v>
      </c>
      <c r="F105" s="9" t="s">
        <v>1089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1090</v>
      </c>
      <c r="D110" s="5">
        <v>156</v>
      </c>
      <c r="E110" s="5" t="s">
        <v>1091</v>
      </c>
      <c r="F110" s="5" t="s">
        <v>1092</v>
      </c>
    </row>
    <row r="111" spans="1:6" x14ac:dyDescent="0.25">
      <c r="A111" s="8" t="s">
        <v>530</v>
      </c>
      <c r="B111" s="9">
        <v>0</v>
      </c>
      <c r="C111" s="9">
        <v>590</v>
      </c>
      <c r="D111" s="9">
        <v>4745</v>
      </c>
      <c r="E111" s="9">
        <v>40</v>
      </c>
      <c r="F111" s="9">
        <v>4265</v>
      </c>
    </row>
    <row r="112" spans="1:6" x14ac:dyDescent="0.25">
      <c r="A112" s="6" t="s">
        <v>531</v>
      </c>
      <c r="B112" s="7">
        <v>0</v>
      </c>
      <c r="C112" s="7" t="s">
        <v>512</v>
      </c>
      <c r="D112" s="7">
        <v>4901</v>
      </c>
      <c r="E112" s="7" t="s">
        <v>1093</v>
      </c>
      <c r="F112" s="7">
        <v>805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512</v>
      </c>
      <c r="D114" s="5">
        <v>4901</v>
      </c>
      <c r="E114" s="5" t="s">
        <v>1093</v>
      </c>
      <c r="F114" s="5">
        <v>805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1094</v>
      </c>
      <c r="D117" s="9">
        <v>8.1000000000000003E-2</v>
      </c>
      <c r="E117" s="9" t="s">
        <v>1095</v>
      </c>
      <c r="F117" s="9">
        <v>1.2999999999999999E-2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1094</v>
      </c>
      <c r="D119" s="9">
        <v>8.1000000000000003E-2</v>
      </c>
      <c r="E119" s="9" t="s">
        <v>1095</v>
      </c>
      <c r="F119" s="9">
        <v>1.2999999999999999E-2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803</v>
      </c>
      <c r="B134" s="7">
        <v>61450</v>
      </c>
      <c r="C134" s="7">
        <v>0</v>
      </c>
      <c r="D134" s="7">
        <v>0</v>
      </c>
      <c r="E134" s="7">
        <v>0</v>
      </c>
      <c r="F134" s="7">
        <v>2414</v>
      </c>
      <c r="G134" s="7">
        <v>39836</v>
      </c>
      <c r="H134" s="7">
        <v>0</v>
      </c>
      <c r="I134" s="7">
        <v>0</v>
      </c>
      <c r="J134" s="7">
        <v>0</v>
      </c>
      <c r="K134" s="7" t="s">
        <v>730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730</v>
      </c>
      <c r="X134" s="7">
        <v>102325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2414</v>
      </c>
      <c r="G137" s="9">
        <v>39836</v>
      </c>
      <c r="H137" s="9">
        <v>0</v>
      </c>
      <c r="I137" s="9">
        <v>0</v>
      </c>
      <c r="J137" s="9">
        <v>0</v>
      </c>
      <c r="K137" s="9" t="s">
        <v>730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730</v>
      </c>
      <c r="X137" s="9">
        <v>102325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805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805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524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524</v>
      </c>
      <c r="X141" s="9">
        <v>524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805</v>
      </c>
      <c r="H142" s="7">
        <v>0</v>
      </c>
      <c r="I142" s="7">
        <v>0</v>
      </c>
      <c r="J142" s="7">
        <v>0</v>
      </c>
      <c r="K142" s="7">
        <v>524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524</v>
      </c>
      <c r="X142" s="7">
        <v>1329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939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939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541</v>
      </c>
      <c r="G155" s="9" t="s">
        <v>806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541</v>
      </c>
      <c r="G156" s="7" t="s">
        <v>1096</v>
      </c>
      <c r="H156" s="7">
        <v>0</v>
      </c>
      <c r="I156" s="7">
        <v>0</v>
      </c>
      <c r="J156" s="7">
        <v>0</v>
      </c>
      <c r="K156" s="7">
        <v>524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524</v>
      </c>
      <c r="X156" s="7" t="s">
        <v>1097</v>
      </c>
    </row>
    <row r="157" spans="1:24" x14ac:dyDescent="0.25">
      <c r="A157" s="8" t="s">
        <v>942</v>
      </c>
      <c r="B157" s="9">
        <v>61450</v>
      </c>
      <c r="C157" s="9">
        <v>0</v>
      </c>
      <c r="D157" s="9">
        <v>0</v>
      </c>
      <c r="E157" s="9">
        <v>0</v>
      </c>
      <c r="F157" s="9">
        <v>2955</v>
      </c>
      <c r="G157" s="9">
        <v>26485</v>
      </c>
      <c r="H157" s="9">
        <v>0</v>
      </c>
      <c r="I157" s="9">
        <v>0</v>
      </c>
      <c r="J157" s="9">
        <v>0</v>
      </c>
      <c r="K157" s="9" t="s">
        <v>967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967</v>
      </c>
      <c r="X157" s="9">
        <v>90039</v>
      </c>
    </row>
    <row r="158" spans="1:24" x14ac:dyDescent="0.25">
      <c r="A158" s="6" t="s">
        <v>980</v>
      </c>
      <c r="B158" s="7">
        <v>61450</v>
      </c>
      <c r="C158" s="7">
        <v>0</v>
      </c>
      <c r="D158" s="7">
        <v>0</v>
      </c>
      <c r="E158" s="7">
        <v>0</v>
      </c>
      <c r="F158" s="7">
        <v>2955</v>
      </c>
      <c r="G158" s="7">
        <v>26485</v>
      </c>
      <c r="H158" s="7">
        <v>0</v>
      </c>
      <c r="I158" s="7">
        <v>0</v>
      </c>
      <c r="J158" s="7">
        <v>0</v>
      </c>
      <c r="K158" s="7" t="s">
        <v>967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967</v>
      </c>
      <c r="X158" s="7">
        <v>90039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2955</v>
      </c>
      <c r="G161" s="9">
        <v>26485</v>
      </c>
      <c r="H161" s="9">
        <v>0</v>
      </c>
      <c r="I161" s="9">
        <v>0</v>
      </c>
      <c r="J161" s="9">
        <v>0</v>
      </c>
      <c r="K161" s="9" t="s">
        <v>967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967</v>
      </c>
      <c r="X161" s="9">
        <v>90039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1093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1093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701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701</v>
      </c>
      <c r="X165" s="9">
        <v>701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1093</v>
      </c>
      <c r="H166" s="7">
        <v>0</v>
      </c>
      <c r="I166" s="7">
        <v>0</v>
      </c>
      <c r="J166" s="7">
        <v>0</v>
      </c>
      <c r="K166" s="7">
        <v>701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701</v>
      </c>
      <c r="X166" s="7" t="s">
        <v>1098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80</v>
      </c>
      <c r="G179" s="9" t="s">
        <v>384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80</v>
      </c>
      <c r="G180" s="7" t="s">
        <v>1099</v>
      </c>
      <c r="H180" s="7">
        <v>0</v>
      </c>
      <c r="I180" s="7">
        <v>0</v>
      </c>
      <c r="J180" s="7">
        <v>0</v>
      </c>
      <c r="K180" s="7">
        <v>701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701</v>
      </c>
      <c r="X180" s="7" t="s">
        <v>1098</v>
      </c>
    </row>
    <row r="181" spans="1:24" x14ac:dyDescent="0.25">
      <c r="A181" s="8" t="s">
        <v>1100</v>
      </c>
      <c r="B181" s="9">
        <v>61450</v>
      </c>
      <c r="C181" s="9">
        <v>0</v>
      </c>
      <c r="D181" s="9">
        <v>0</v>
      </c>
      <c r="E181" s="9">
        <v>0</v>
      </c>
      <c r="F181" s="9">
        <v>3035</v>
      </c>
      <c r="G181" s="9">
        <v>14641</v>
      </c>
      <c r="H181" s="9">
        <v>0</v>
      </c>
      <c r="I181" s="9">
        <v>0</v>
      </c>
      <c r="J181" s="9">
        <v>0</v>
      </c>
      <c r="K181" s="9" t="s">
        <v>1066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 t="s">
        <v>1066</v>
      </c>
      <c r="X181" s="9">
        <v>78976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1101</v>
      </c>
      <c r="D185" s="3" t="s">
        <v>943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184474</v>
      </c>
      <c r="D188" s="7">
        <v>171184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1102</v>
      </c>
      <c r="D194" s="7" t="s">
        <v>1103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1104</v>
      </c>
      <c r="D196" s="7" t="s">
        <v>1105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1106</v>
      </c>
      <c r="D198" s="7" t="s">
        <v>1107</v>
      </c>
    </row>
    <row r="199" spans="1:4" x14ac:dyDescent="0.25">
      <c r="A199" s="8" t="s">
        <v>591</v>
      </c>
      <c r="B199" s="9">
        <v>0</v>
      </c>
      <c r="C199" s="9" t="s">
        <v>1108</v>
      </c>
      <c r="D199" s="9">
        <v>36607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 t="s">
        <v>1109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 t="s">
        <v>1108</v>
      </c>
      <c r="D206" s="5">
        <v>34730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3087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3471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 t="s">
        <v>1110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1111</v>
      </c>
      <c r="D229" s="9" t="s">
        <v>1112</v>
      </c>
    </row>
    <row r="230" spans="1:4" x14ac:dyDescent="0.25">
      <c r="A230" s="6" t="s">
        <v>224</v>
      </c>
      <c r="B230" s="7">
        <v>0</v>
      </c>
      <c r="C230" s="7" t="s">
        <v>1113</v>
      </c>
      <c r="D230" s="7" t="s">
        <v>1114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1115</v>
      </c>
      <c r="D234" s="5" t="s">
        <v>1116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242920</v>
      </c>
      <c r="D237" s="9">
        <v>48042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1117</v>
      </c>
      <c r="D244" s="7" t="s">
        <v>1118</v>
      </c>
    </row>
    <row r="245" spans="1:4" x14ac:dyDescent="0.25">
      <c r="A245" s="8" t="s">
        <v>243</v>
      </c>
      <c r="B245" s="9">
        <v>0</v>
      </c>
      <c r="C245" s="9">
        <v>0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1119</v>
      </c>
      <c r="D250" s="7" t="s">
        <v>960</v>
      </c>
    </row>
    <row r="251" spans="1:4" x14ac:dyDescent="0.25">
      <c r="A251" s="8" t="s">
        <v>629</v>
      </c>
      <c r="B251" s="9">
        <v>0</v>
      </c>
      <c r="C251" s="9" t="s">
        <v>991</v>
      </c>
      <c r="D251" s="9" t="s">
        <v>805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>
        <v>95665</v>
      </c>
      <c r="D254" s="5">
        <v>1188</v>
      </c>
    </row>
    <row r="255" spans="1:4" x14ac:dyDescent="0.25">
      <c r="A255" s="8" t="s">
        <v>250</v>
      </c>
      <c r="B255" s="9">
        <v>0</v>
      </c>
      <c r="C255" s="9">
        <v>50440</v>
      </c>
      <c r="D255" s="9" t="s">
        <v>961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>
        <v>50440</v>
      </c>
      <c r="D257" s="9" t="s">
        <v>961</v>
      </c>
    </row>
    <row r="258" spans="1:6" x14ac:dyDescent="0.25">
      <c r="A258" s="6" t="s">
        <v>255</v>
      </c>
      <c r="B258" s="7">
        <v>3</v>
      </c>
      <c r="C258" s="7">
        <v>3308</v>
      </c>
      <c r="D258" s="7">
        <v>14624</v>
      </c>
    </row>
    <row r="259" spans="1:6" x14ac:dyDescent="0.25">
      <c r="A259" s="4" t="s">
        <v>256</v>
      </c>
      <c r="B259" s="5">
        <v>3</v>
      </c>
      <c r="C259" s="5">
        <v>53748</v>
      </c>
      <c r="D259" s="5">
        <v>3308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1067</v>
      </c>
      <c r="D263" s="3" t="s">
        <v>911</v>
      </c>
      <c r="E263" s="3" t="s">
        <v>1068</v>
      </c>
      <c r="F263" s="3" t="s">
        <v>912</v>
      </c>
    </row>
    <row r="264" spans="1:6" x14ac:dyDescent="0.25">
      <c r="A264" s="6" t="s">
        <v>258</v>
      </c>
      <c r="B264" s="7">
        <v>0</v>
      </c>
      <c r="C264" s="7" t="s">
        <v>512</v>
      </c>
      <c r="D264" s="7">
        <v>4901</v>
      </c>
      <c r="E264" s="7" t="s">
        <v>1093</v>
      </c>
      <c r="F264" s="7">
        <v>805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184</v>
      </c>
      <c r="D269" s="9">
        <v>102</v>
      </c>
      <c r="E269" s="9">
        <v>701</v>
      </c>
      <c r="F269" s="9">
        <v>524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184</v>
      </c>
      <c r="D272" s="7">
        <v>102</v>
      </c>
      <c r="E272" s="7">
        <v>701</v>
      </c>
      <c r="F272" s="7">
        <v>524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184</v>
      </c>
      <c r="D303" s="5">
        <v>102</v>
      </c>
      <c r="E303" s="5">
        <v>701</v>
      </c>
      <c r="F303" s="5">
        <v>524</v>
      </c>
    </row>
    <row r="304" spans="1:6" x14ac:dyDescent="0.25">
      <c r="A304" s="4" t="s">
        <v>671</v>
      </c>
      <c r="B304" s="5">
        <v>0</v>
      </c>
      <c r="C304" s="5" t="s">
        <v>1120</v>
      </c>
      <c r="D304" s="5">
        <v>5003</v>
      </c>
      <c r="E304" s="5" t="s">
        <v>1098</v>
      </c>
      <c r="F304" s="5">
        <v>1329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43875.682326388902</v>
      </c>
    </row>
    <row r="311" spans="1:2" x14ac:dyDescent="0.25">
      <c r="A311" s="8" t="s">
        <v>277</v>
      </c>
      <c r="B311" s="10">
        <v>43875.680844907401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43875.680925925903</v>
      </c>
    </row>
    <row r="314" spans="1:2" x14ac:dyDescent="0.25">
      <c r="A314" s="6" t="s">
        <v>276</v>
      </c>
      <c r="B314" s="11">
        <v>43875.682465277801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43875.682557870401</v>
      </c>
    </row>
    <row r="317" spans="1:2" x14ac:dyDescent="0.25">
      <c r="A317" s="8" t="s">
        <v>277</v>
      </c>
      <c r="B317" s="10">
        <v>43875.681111111102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43875.681192129603</v>
      </c>
    </row>
    <row r="320" spans="1:2" x14ac:dyDescent="0.25">
      <c r="A320" s="6" t="s">
        <v>276</v>
      </c>
      <c r="B320" s="11">
        <v>43875.682650463001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644A-E19E-4606-BF72-67CD116A500F}">
  <dimension ref="A1:X320"/>
  <sheetViews>
    <sheetView topLeftCell="A246" workbookViewId="0">
      <selection activeCell="C186" sqref="C186:C259"/>
    </sheetView>
  </sheetViews>
  <sheetFormatPr defaultRowHeight="15" x14ac:dyDescent="0.25"/>
  <cols>
    <col min="1" max="1" width="50.7109375" customWidth="1"/>
    <col min="2" max="2" width="15.140625" customWidth="1"/>
    <col min="3" max="4" width="45.5703125" customWidth="1"/>
    <col min="5" max="6" width="46.8554687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1122</v>
      </c>
    </row>
    <row r="3" spans="1:4" x14ac:dyDescent="0.25">
      <c r="A3" t="s">
        <v>1123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1124</v>
      </c>
      <c r="D9" s="3" t="s">
        <v>1065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26243</v>
      </c>
      <c r="D12" s="7">
        <v>56407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14645</v>
      </c>
      <c r="D14" s="7">
        <v>15169</v>
      </c>
    </row>
    <row r="15" spans="1:4" x14ac:dyDescent="0.25">
      <c r="A15" s="8" t="s">
        <v>31</v>
      </c>
      <c r="B15" s="9">
        <v>4</v>
      </c>
      <c r="C15" s="9">
        <v>6920</v>
      </c>
      <c r="D15" s="9">
        <v>7698</v>
      </c>
    </row>
    <row r="16" spans="1:4" x14ac:dyDescent="0.25">
      <c r="A16" s="6" t="s">
        <v>18</v>
      </c>
      <c r="B16" s="7">
        <v>0</v>
      </c>
      <c r="C16" s="7">
        <v>11</v>
      </c>
      <c r="D16" s="7">
        <v>8</v>
      </c>
    </row>
    <row r="17" spans="1:4" x14ac:dyDescent="0.25">
      <c r="A17" s="8" t="s">
        <v>32</v>
      </c>
      <c r="B17" s="9">
        <v>0</v>
      </c>
      <c r="C17" s="9">
        <v>7714</v>
      </c>
      <c r="D17" s="9">
        <v>7463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2426</v>
      </c>
      <c r="D19" s="9">
        <v>2222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2810</v>
      </c>
      <c r="D22" s="7">
        <v>2735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46124</v>
      </c>
      <c r="D24" s="7">
        <v>76533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46124</v>
      </c>
      <c r="D26" s="5">
        <v>76533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18982</v>
      </c>
      <c r="D30" s="7">
        <v>17088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13943</v>
      </c>
      <c r="D32" s="7">
        <v>13529</v>
      </c>
    </row>
    <row r="33" spans="1:4" x14ac:dyDescent="0.25">
      <c r="A33" s="8" t="s">
        <v>32</v>
      </c>
      <c r="B33" s="9">
        <v>0</v>
      </c>
      <c r="C33" s="9">
        <v>5039</v>
      </c>
      <c r="D33" s="9">
        <v>3559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206742</v>
      </c>
      <c r="D38" s="7">
        <v>209536</v>
      </c>
    </row>
    <row r="39" spans="1:4" x14ac:dyDescent="0.25">
      <c r="A39" s="8" t="s">
        <v>497</v>
      </c>
      <c r="B39" s="9">
        <v>8</v>
      </c>
      <c r="C39" s="9">
        <v>3045</v>
      </c>
      <c r="D39" s="9">
        <v>3294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1125</v>
      </c>
      <c r="C43" s="9">
        <v>182767</v>
      </c>
      <c r="D43" s="9">
        <v>186235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424342</v>
      </c>
      <c r="D45" s="5">
        <v>428959</v>
      </c>
    </row>
    <row r="46" spans="1:4" x14ac:dyDescent="0.25">
      <c r="A46" s="4" t="s">
        <v>39</v>
      </c>
      <c r="B46" s="5">
        <v>0</v>
      </c>
      <c r="C46" s="5">
        <v>470466</v>
      </c>
      <c r="D46" s="5">
        <v>505492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10</v>
      </c>
      <c r="C49" s="9">
        <v>1166</v>
      </c>
      <c r="D49" s="9">
        <v>2351</v>
      </c>
    </row>
    <row r="50" spans="1:4" x14ac:dyDescent="0.25">
      <c r="A50" s="6" t="s">
        <v>501</v>
      </c>
      <c r="B50" s="7">
        <v>0</v>
      </c>
      <c r="C50" s="7">
        <v>31826</v>
      </c>
      <c r="D50" s="7">
        <v>38683</v>
      </c>
    </row>
    <row r="51" spans="1:4" x14ac:dyDescent="0.25">
      <c r="A51" s="8" t="s">
        <v>44</v>
      </c>
      <c r="B51" s="9">
        <v>11</v>
      </c>
      <c r="C51" s="9">
        <v>21240</v>
      </c>
      <c r="D51" s="9">
        <v>28576</v>
      </c>
    </row>
    <row r="52" spans="1:4" x14ac:dyDescent="0.25">
      <c r="A52" s="6" t="s">
        <v>46</v>
      </c>
      <c r="B52" s="7">
        <v>0</v>
      </c>
      <c r="C52" s="7">
        <v>29</v>
      </c>
      <c r="D52" s="7">
        <v>188</v>
      </c>
    </row>
    <row r="53" spans="1:4" x14ac:dyDescent="0.25">
      <c r="A53" s="8" t="s">
        <v>45</v>
      </c>
      <c r="B53" s="9">
        <v>12</v>
      </c>
      <c r="C53" s="9">
        <v>10557</v>
      </c>
      <c r="D53" s="9">
        <v>9919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1126</v>
      </c>
      <c r="C58" s="7">
        <v>10543</v>
      </c>
      <c r="D58" s="7">
        <v>9423</v>
      </c>
    </row>
    <row r="59" spans="1:4" x14ac:dyDescent="0.25">
      <c r="A59" s="8" t="s">
        <v>504</v>
      </c>
      <c r="B59" s="9">
        <v>0</v>
      </c>
      <c r="C59" s="9">
        <v>43535</v>
      </c>
      <c r="D59" s="9">
        <v>50457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43535</v>
      </c>
      <c r="D61" s="5">
        <v>50457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10</v>
      </c>
      <c r="C63" s="9">
        <v>185381</v>
      </c>
      <c r="D63" s="9">
        <v>186124</v>
      </c>
    </row>
    <row r="64" spans="1:4" x14ac:dyDescent="0.25">
      <c r="A64" s="6" t="s">
        <v>501</v>
      </c>
      <c r="B64" s="7">
        <v>0</v>
      </c>
      <c r="C64" s="7">
        <v>1647</v>
      </c>
      <c r="D64" s="7">
        <v>1632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1633</v>
      </c>
      <c r="D66" s="7">
        <v>1632</v>
      </c>
    </row>
    <row r="67" spans="1:4" x14ac:dyDescent="0.25">
      <c r="A67" s="8" t="s">
        <v>45</v>
      </c>
      <c r="B67" s="9">
        <v>12</v>
      </c>
      <c r="C67" s="9">
        <v>14</v>
      </c>
      <c r="D67" s="9">
        <v>0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13</v>
      </c>
      <c r="C71" s="9">
        <v>4451</v>
      </c>
      <c r="D71" s="9">
        <v>5248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1126</v>
      </c>
      <c r="C73" s="9">
        <v>182379</v>
      </c>
      <c r="D73" s="9">
        <v>177906</v>
      </c>
    </row>
    <row r="74" spans="1:4" x14ac:dyDescent="0.25">
      <c r="A74" s="4" t="s">
        <v>59</v>
      </c>
      <c r="B74" s="5">
        <v>0</v>
      </c>
      <c r="C74" s="5">
        <v>373858</v>
      </c>
      <c r="D74" s="5">
        <v>370910</v>
      </c>
    </row>
    <row r="75" spans="1:4" x14ac:dyDescent="0.25">
      <c r="A75" s="4" t="s">
        <v>60</v>
      </c>
      <c r="B75" s="5">
        <v>0</v>
      </c>
      <c r="C75" s="5">
        <v>417393</v>
      </c>
      <c r="D75" s="5">
        <v>421367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14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1127</v>
      </c>
      <c r="D82" s="7">
        <v>19789</v>
      </c>
    </row>
    <row r="83" spans="1:6" x14ac:dyDescent="0.25">
      <c r="A83" s="8" t="s">
        <v>68</v>
      </c>
      <c r="B83" s="9">
        <v>0</v>
      </c>
      <c r="C83" s="9">
        <v>0</v>
      </c>
      <c r="D83" s="9" t="s">
        <v>1066</v>
      </c>
    </row>
    <row r="84" spans="1:6" x14ac:dyDescent="0.25">
      <c r="A84" s="4" t="s">
        <v>71</v>
      </c>
      <c r="B84" s="5">
        <v>0</v>
      </c>
      <c r="C84" s="5">
        <v>53073</v>
      </c>
      <c r="D84" s="5">
        <v>84125</v>
      </c>
    </row>
    <row r="85" spans="1:6" x14ac:dyDescent="0.25">
      <c r="A85" s="4" t="s">
        <v>72</v>
      </c>
      <c r="B85" s="5">
        <v>0</v>
      </c>
      <c r="C85" s="5">
        <v>470466</v>
      </c>
      <c r="D85" s="5">
        <v>505492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1128</v>
      </c>
      <c r="D89" s="3" t="s">
        <v>968</v>
      </c>
      <c r="E89" s="3" t="s">
        <v>1129</v>
      </c>
      <c r="F89" s="3" t="s">
        <v>969</v>
      </c>
    </row>
    <row r="90" spans="1:6" x14ac:dyDescent="0.25">
      <c r="A90" s="4" t="s">
        <v>510</v>
      </c>
      <c r="B90" s="5">
        <v>0</v>
      </c>
      <c r="C90" s="5">
        <v>33728</v>
      </c>
      <c r="D90" s="5">
        <v>37259</v>
      </c>
      <c r="E90" s="5">
        <v>33728</v>
      </c>
      <c r="F90" s="5">
        <v>37259</v>
      </c>
    </row>
    <row r="91" spans="1:6" x14ac:dyDescent="0.25">
      <c r="A91" s="8" t="s">
        <v>79</v>
      </c>
      <c r="B91" s="9">
        <v>16</v>
      </c>
      <c r="C91" s="9" t="s">
        <v>1130</v>
      </c>
      <c r="D91" s="9" t="s">
        <v>970</v>
      </c>
      <c r="E91" s="9" t="s">
        <v>1130</v>
      </c>
      <c r="F91" s="9" t="s">
        <v>970</v>
      </c>
    </row>
    <row r="92" spans="1:6" x14ac:dyDescent="0.25">
      <c r="A92" s="4" t="s">
        <v>82</v>
      </c>
      <c r="B92" s="5">
        <v>0</v>
      </c>
      <c r="C92" s="5">
        <v>2669</v>
      </c>
      <c r="D92" s="5">
        <v>10042</v>
      </c>
      <c r="E92" s="5">
        <v>2669</v>
      </c>
      <c r="F92" s="5">
        <v>10042</v>
      </c>
    </row>
    <row r="93" spans="1:6" x14ac:dyDescent="0.25">
      <c r="A93" s="8" t="s">
        <v>83</v>
      </c>
      <c r="B93" s="9">
        <v>18</v>
      </c>
      <c r="C93" s="9" t="s">
        <v>1131</v>
      </c>
      <c r="D93" s="9" t="s">
        <v>971</v>
      </c>
      <c r="E93" s="9" t="s">
        <v>1131</v>
      </c>
      <c r="F93" s="9" t="s">
        <v>971</v>
      </c>
    </row>
    <row r="94" spans="1:6" x14ac:dyDescent="0.25">
      <c r="A94" s="6" t="s">
        <v>86</v>
      </c>
      <c r="B94" s="7">
        <v>17</v>
      </c>
      <c r="C94" s="7" t="s">
        <v>1132</v>
      </c>
      <c r="D94" s="7" t="s">
        <v>972</v>
      </c>
      <c r="E94" s="7" t="s">
        <v>1132</v>
      </c>
      <c r="F94" s="7" t="s">
        <v>972</v>
      </c>
    </row>
    <row r="95" spans="1:6" x14ac:dyDescent="0.25">
      <c r="A95" s="8" t="s">
        <v>90</v>
      </c>
      <c r="B95" s="9">
        <v>0</v>
      </c>
      <c r="C95" s="9">
        <v>1266</v>
      </c>
      <c r="D95" s="9">
        <v>134</v>
      </c>
      <c r="E95" s="9">
        <v>1266</v>
      </c>
      <c r="F95" s="9">
        <v>134</v>
      </c>
    </row>
    <row r="96" spans="1:6" x14ac:dyDescent="0.25">
      <c r="A96" s="6" t="s">
        <v>91</v>
      </c>
      <c r="B96" s="7">
        <v>0</v>
      </c>
      <c r="C96" s="7" t="s">
        <v>1133</v>
      </c>
      <c r="D96" s="7" t="s">
        <v>973</v>
      </c>
      <c r="E96" s="7" t="s">
        <v>1133</v>
      </c>
      <c r="F96" s="7" t="s">
        <v>973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1134</v>
      </c>
      <c r="D98" s="5" t="s">
        <v>974</v>
      </c>
      <c r="E98" s="5" t="s">
        <v>1134</v>
      </c>
      <c r="F98" s="5" t="s">
        <v>974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179</v>
      </c>
      <c r="D100" s="7">
        <v>132</v>
      </c>
      <c r="E100" s="7">
        <v>179</v>
      </c>
      <c r="F100" s="7">
        <v>132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1135</v>
      </c>
      <c r="D102" s="7" t="s">
        <v>975</v>
      </c>
      <c r="E102" s="7" t="s">
        <v>1135</v>
      </c>
      <c r="F102" s="7" t="s">
        <v>975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 t="s">
        <v>1136</v>
      </c>
      <c r="D105" s="9">
        <v>5158</v>
      </c>
      <c r="E105" s="9" t="s">
        <v>1136</v>
      </c>
      <c r="F105" s="9">
        <v>5158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1137</v>
      </c>
      <c r="D110" s="5" t="s">
        <v>976</v>
      </c>
      <c r="E110" s="5" t="s">
        <v>1137</v>
      </c>
      <c r="F110" s="5" t="s">
        <v>976</v>
      </c>
    </row>
    <row r="111" spans="1:6" x14ac:dyDescent="0.25">
      <c r="A111" s="8" t="s">
        <v>530</v>
      </c>
      <c r="B111" s="9">
        <v>0</v>
      </c>
      <c r="C111" s="9">
        <v>861</v>
      </c>
      <c r="D111" s="9">
        <v>40</v>
      </c>
      <c r="E111" s="9">
        <v>861</v>
      </c>
      <c r="F111" s="9">
        <v>40</v>
      </c>
    </row>
    <row r="112" spans="1:6" x14ac:dyDescent="0.25">
      <c r="A112" s="6" t="s">
        <v>531</v>
      </c>
      <c r="B112" s="7">
        <v>0</v>
      </c>
      <c r="C112" s="7" t="s">
        <v>1138</v>
      </c>
      <c r="D112" s="7" t="s">
        <v>977</v>
      </c>
      <c r="E112" s="7" t="s">
        <v>1138</v>
      </c>
      <c r="F112" s="7" t="s">
        <v>977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1138</v>
      </c>
      <c r="D114" s="5" t="s">
        <v>977</v>
      </c>
      <c r="E114" s="5" t="s">
        <v>1138</v>
      </c>
      <c r="F114" s="5" t="s">
        <v>977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1139</v>
      </c>
      <c r="D117" s="9" t="s">
        <v>978</v>
      </c>
      <c r="E117" s="9" t="s">
        <v>1139</v>
      </c>
      <c r="F117" s="9" t="s">
        <v>978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1139</v>
      </c>
      <c r="D119" s="9" t="s">
        <v>978</v>
      </c>
      <c r="E119" s="9" t="s">
        <v>1139</v>
      </c>
      <c r="F119" s="9" t="s">
        <v>978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980</v>
      </c>
      <c r="B134" s="7">
        <v>61450</v>
      </c>
      <c r="C134" s="7">
        <v>0</v>
      </c>
      <c r="D134" s="7">
        <v>0</v>
      </c>
      <c r="E134" s="7">
        <v>0</v>
      </c>
      <c r="F134" s="7">
        <v>2955</v>
      </c>
      <c r="G134" s="7">
        <v>26485</v>
      </c>
      <c r="H134" s="7">
        <v>0</v>
      </c>
      <c r="I134" s="7">
        <v>0</v>
      </c>
      <c r="J134" s="7">
        <v>0</v>
      </c>
      <c r="K134" s="7" t="s">
        <v>967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967</v>
      </c>
      <c r="X134" s="7">
        <v>90039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2955</v>
      </c>
      <c r="G137" s="9">
        <v>26485</v>
      </c>
      <c r="H137" s="9">
        <v>0</v>
      </c>
      <c r="I137" s="9">
        <v>0</v>
      </c>
      <c r="J137" s="9">
        <v>0</v>
      </c>
      <c r="K137" s="9" t="s">
        <v>967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967</v>
      </c>
      <c r="X137" s="9">
        <v>90039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977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977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221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221</v>
      </c>
      <c r="X141" s="9">
        <v>221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977</v>
      </c>
      <c r="H142" s="7">
        <v>0</v>
      </c>
      <c r="I142" s="7">
        <v>0</v>
      </c>
      <c r="J142" s="7">
        <v>0</v>
      </c>
      <c r="K142" s="7">
        <v>221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221</v>
      </c>
      <c r="X142" s="7" t="s">
        <v>981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80</v>
      </c>
      <c r="G155" s="9" t="s">
        <v>384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80</v>
      </c>
      <c r="G156" s="7" t="s">
        <v>982</v>
      </c>
      <c r="H156" s="7">
        <v>0</v>
      </c>
      <c r="I156" s="7">
        <v>0</v>
      </c>
      <c r="J156" s="7">
        <v>0</v>
      </c>
      <c r="K156" s="7">
        <v>221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221</v>
      </c>
      <c r="X156" s="7" t="s">
        <v>981</v>
      </c>
    </row>
    <row r="157" spans="1:24" x14ac:dyDescent="0.25">
      <c r="A157" s="8" t="s">
        <v>983</v>
      </c>
      <c r="B157" s="9">
        <v>61450</v>
      </c>
      <c r="C157" s="9">
        <v>0</v>
      </c>
      <c r="D157" s="9">
        <v>0</v>
      </c>
      <c r="E157" s="9">
        <v>0</v>
      </c>
      <c r="F157" s="9">
        <v>3035</v>
      </c>
      <c r="G157" s="9">
        <v>22531</v>
      </c>
      <c r="H157" s="9">
        <v>0</v>
      </c>
      <c r="I157" s="9">
        <v>0</v>
      </c>
      <c r="J157" s="9">
        <v>0</v>
      </c>
      <c r="K157" s="9" t="s">
        <v>966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966</v>
      </c>
      <c r="X157" s="9">
        <v>86386</v>
      </c>
    </row>
    <row r="158" spans="1:24" x14ac:dyDescent="0.25">
      <c r="A158" s="6" t="s">
        <v>1140</v>
      </c>
      <c r="B158" s="7">
        <v>61450</v>
      </c>
      <c r="C158" s="7">
        <v>0</v>
      </c>
      <c r="D158" s="7">
        <v>0</v>
      </c>
      <c r="E158" s="7">
        <v>0</v>
      </c>
      <c r="F158" s="7">
        <v>3036</v>
      </c>
      <c r="G158" s="7">
        <v>19789</v>
      </c>
      <c r="H158" s="7">
        <v>0</v>
      </c>
      <c r="I158" s="7">
        <v>0</v>
      </c>
      <c r="J158" s="7">
        <v>0</v>
      </c>
      <c r="K158" s="7" t="s">
        <v>1066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1066</v>
      </c>
      <c r="X158" s="7">
        <v>84125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3036</v>
      </c>
      <c r="G161" s="9">
        <v>19789</v>
      </c>
      <c r="H161" s="9">
        <v>0</v>
      </c>
      <c r="I161" s="9">
        <v>0</v>
      </c>
      <c r="J161" s="9">
        <v>0</v>
      </c>
      <c r="K161" s="9" t="s">
        <v>1066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1066</v>
      </c>
      <c r="X161" s="9">
        <v>84125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1138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1138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150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150</v>
      </c>
      <c r="X165" s="9">
        <v>150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1138</v>
      </c>
      <c r="H166" s="7">
        <v>0</v>
      </c>
      <c r="I166" s="7">
        <v>0</v>
      </c>
      <c r="J166" s="7">
        <v>0</v>
      </c>
      <c r="K166" s="7">
        <v>150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150</v>
      </c>
      <c r="X166" s="7" t="s">
        <v>1141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1142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1142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 t="s">
        <v>1143</v>
      </c>
      <c r="H180" s="7">
        <v>0</v>
      </c>
      <c r="I180" s="7">
        <v>0</v>
      </c>
      <c r="J180" s="7">
        <v>0</v>
      </c>
      <c r="K180" s="7">
        <v>150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150</v>
      </c>
      <c r="X180" s="7" t="s">
        <v>1144</v>
      </c>
    </row>
    <row r="181" spans="1:24" x14ac:dyDescent="0.25">
      <c r="A181" s="8" t="s">
        <v>1145</v>
      </c>
      <c r="B181" s="9">
        <v>61450</v>
      </c>
      <c r="C181" s="9">
        <v>0</v>
      </c>
      <c r="D181" s="9">
        <v>0</v>
      </c>
      <c r="E181" s="9">
        <v>0</v>
      </c>
      <c r="F181" s="9">
        <v>3036</v>
      </c>
      <c r="G181" s="9" t="s">
        <v>1127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53073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1146</v>
      </c>
      <c r="D185" s="3" t="s">
        <v>984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39101</v>
      </c>
      <c r="D188" s="7">
        <v>41717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1147</v>
      </c>
      <c r="D194" s="7" t="s">
        <v>985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1148</v>
      </c>
      <c r="D196" s="7" t="s">
        <v>986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1149</v>
      </c>
      <c r="D198" s="7" t="s">
        <v>987</v>
      </c>
    </row>
    <row r="199" spans="1:4" x14ac:dyDescent="0.25">
      <c r="A199" s="8" t="s">
        <v>591</v>
      </c>
      <c r="B199" s="9">
        <v>0</v>
      </c>
      <c r="C199" s="9" t="s">
        <v>1150</v>
      </c>
      <c r="D199" s="9">
        <v>5424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 t="s">
        <v>1150</v>
      </c>
      <c r="D206" s="5">
        <v>5424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5971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3471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 t="s">
        <v>1151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1152</v>
      </c>
      <c r="D229" s="9" t="s">
        <v>988</v>
      </c>
    </row>
    <row r="230" spans="1:4" x14ac:dyDescent="0.25">
      <c r="A230" s="6" t="s">
        <v>224</v>
      </c>
      <c r="B230" s="7">
        <v>0</v>
      </c>
      <c r="C230" s="7" t="s">
        <v>1153</v>
      </c>
      <c r="D230" s="7">
        <v>0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1154</v>
      </c>
      <c r="D234" s="5">
        <v>5798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0</v>
      </c>
      <c r="D237" s="9">
        <v>24339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1155</v>
      </c>
      <c r="D244" s="7" t="s">
        <v>989</v>
      </c>
    </row>
    <row r="245" spans="1:4" x14ac:dyDescent="0.25">
      <c r="A245" s="8" t="s">
        <v>243</v>
      </c>
      <c r="B245" s="9">
        <v>0</v>
      </c>
      <c r="C245" s="9" t="s">
        <v>1156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1157</v>
      </c>
      <c r="D250" s="7" t="s">
        <v>990</v>
      </c>
    </row>
    <row r="251" spans="1:4" x14ac:dyDescent="0.25">
      <c r="A251" s="8" t="s">
        <v>629</v>
      </c>
      <c r="B251" s="9">
        <v>0</v>
      </c>
      <c r="C251" s="9" t="s">
        <v>1142</v>
      </c>
      <c r="D251" s="9" t="s">
        <v>991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1158</v>
      </c>
      <c r="D254" s="5" t="s">
        <v>992</v>
      </c>
    </row>
    <row r="255" spans="1:4" x14ac:dyDescent="0.25">
      <c r="A255" s="8" t="s">
        <v>250</v>
      </c>
      <c r="B255" s="9">
        <v>0</v>
      </c>
      <c r="C255" s="9" t="s">
        <v>1159</v>
      </c>
      <c r="D255" s="9">
        <v>684</v>
      </c>
    </row>
    <row r="256" spans="1:4" x14ac:dyDescent="0.25">
      <c r="A256" s="6" t="s">
        <v>253</v>
      </c>
      <c r="B256" s="7">
        <v>0</v>
      </c>
      <c r="C256" s="7">
        <v>0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1159</v>
      </c>
      <c r="D257" s="9">
        <v>684</v>
      </c>
    </row>
    <row r="258" spans="1:6" x14ac:dyDescent="0.25">
      <c r="A258" s="6" t="s">
        <v>255</v>
      </c>
      <c r="B258" s="7">
        <v>3</v>
      </c>
      <c r="C258" s="7">
        <v>56407</v>
      </c>
      <c r="D258" s="7">
        <v>3308</v>
      </c>
    </row>
    <row r="259" spans="1:6" x14ac:dyDescent="0.25">
      <c r="A259" s="4" t="s">
        <v>256</v>
      </c>
      <c r="B259" s="5">
        <v>3</v>
      </c>
      <c r="C259" s="5">
        <v>26243</v>
      </c>
      <c r="D259" s="5">
        <v>3992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1128</v>
      </c>
      <c r="D263" s="3" t="s">
        <v>968</v>
      </c>
      <c r="E263" s="3" t="s">
        <v>1129</v>
      </c>
      <c r="F263" s="3" t="s">
        <v>969</v>
      </c>
    </row>
    <row r="264" spans="1:6" x14ac:dyDescent="0.25">
      <c r="A264" s="6" t="s">
        <v>258</v>
      </c>
      <c r="B264" s="7">
        <v>0</v>
      </c>
      <c r="C264" s="7" t="s">
        <v>1138</v>
      </c>
      <c r="D264" s="7" t="s">
        <v>977</v>
      </c>
      <c r="E264" s="7" t="s">
        <v>1138</v>
      </c>
      <c r="F264" s="7" t="s">
        <v>977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150</v>
      </c>
      <c r="D269" s="9">
        <v>221</v>
      </c>
      <c r="E269" s="9">
        <v>150</v>
      </c>
      <c r="F269" s="9">
        <v>221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150</v>
      </c>
      <c r="D272" s="7">
        <v>221</v>
      </c>
      <c r="E272" s="7">
        <v>150</v>
      </c>
      <c r="F272" s="7">
        <v>221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150</v>
      </c>
      <c r="D303" s="5">
        <v>221</v>
      </c>
      <c r="E303" s="5">
        <v>150</v>
      </c>
      <c r="F303" s="5">
        <v>221</v>
      </c>
    </row>
    <row r="304" spans="1:6" x14ac:dyDescent="0.25">
      <c r="A304" s="4" t="s">
        <v>671</v>
      </c>
      <c r="B304" s="5">
        <v>0</v>
      </c>
      <c r="C304" s="5" t="s">
        <v>1141</v>
      </c>
      <c r="D304" s="5" t="s">
        <v>981</v>
      </c>
      <c r="E304" s="5" t="s">
        <v>1141</v>
      </c>
      <c r="F304" s="5" t="s">
        <v>981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43990.7795833333</v>
      </c>
    </row>
    <row r="311" spans="1:2" x14ac:dyDescent="0.25">
      <c r="A311" s="8" t="s">
        <v>277</v>
      </c>
      <c r="B311" s="10">
        <v>43990.778541666703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43990.778634259303</v>
      </c>
    </row>
    <row r="314" spans="1:2" x14ac:dyDescent="0.25">
      <c r="A314" s="6" t="s">
        <v>276</v>
      </c>
      <c r="B314" s="11">
        <v>43990.7797222222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43990.779826388898</v>
      </c>
    </row>
    <row r="317" spans="1:2" x14ac:dyDescent="0.25">
      <c r="A317" s="8" t="s">
        <v>277</v>
      </c>
      <c r="B317" s="10">
        <v>43990.778784722199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43990.778888888897</v>
      </c>
    </row>
    <row r="320" spans="1:2" x14ac:dyDescent="0.25">
      <c r="A320" s="6" t="s">
        <v>276</v>
      </c>
      <c r="B320" s="11">
        <v>43990.779907407399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092F-CF39-423D-A981-563B2CD8D717}">
  <dimension ref="A1:X320"/>
  <sheetViews>
    <sheetView topLeftCell="A236" workbookViewId="0">
      <selection activeCell="C186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3.7109375" customWidth="1"/>
    <col min="5" max="6" width="46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1160</v>
      </c>
    </row>
    <row r="3" spans="1:4" x14ac:dyDescent="0.25">
      <c r="A3" t="s">
        <v>1123</v>
      </c>
    </row>
    <row r="4" spans="1:4" x14ac:dyDescent="0.25">
      <c r="A4" t="s">
        <v>282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1161</v>
      </c>
      <c r="D9" s="3" t="s">
        <v>1065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19810</v>
      </c>
      <c r="D12" s="7">
        <v>56407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21746</v>
      </c>
      <c r="D14" s="7">
        <v>15169</v>
      </c>
    </row>
    <row r="15" spans="1:4" x14ac:dyDescent="0.25">
      <c r="A15" s="8" t="s">
        <v>31</v>
      </c>
      <c r="B15" s="9">
        <v>4</v>
      </c>
      <c r="C15" s="9">
        <v>16165</v>
      </c>
      <c r="D15" s="9">
        <v>7698</v>
      </c>
    </row>
    <row r="16" spans="1:4" x14ac:dyDescent="0.25">
      <c r="A16" s="6" t="s">
        <v>18</v>
      </c>
      <c r="B16" s="7">
        <v>0</v>
      </c>
      <c r="C16" s="7">
        <v>11</v>
      </c>
      <c r="D16" s="7">
        <v>8</v>
      </c>
    </row>
    <row r="17" spans="1:4" x14ac:dyDescent="0.25">
      <c r="A17" s="8" t="s">
        <v>32</v>
      </c>
      <c r="B17" s="9">
        <v>0</v>
      </c>
      <c r="C17" s="9">
        <v>5570</v>
      </c>
      <c r="D17" s="9">
        <v>7463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2375</v>
      </c>
      <c r="D19" s="9">
        <v>2222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3469</v>
      </c>
      <c r="D22" s="7">
        <v>2735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47400</v>
      </c>
      <c r="D24" s="7">
        <v>76533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47400</v>
      </c>
      <c r="D26" s="5">
        <v>76533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19352</v>
      </c>
      <c r="D30" s="7">
        <v>17088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14327</v>
      </c>
      <c r="D32" s="7">
        <v>13529</v>
      </c>
    </row>
    <row r="33" spans="1:4" x14ac:dyDescent="0.25">
      <c r="A33" s="8" t="s">
        <v>32</v>
      </c>
      <c r="B33" s="9">
        <v>0</v>
      </c>
      <c r="C33" s="9">
        <v>5025</v>
      </c>
      <c r="D33" s="9">
        <v>3559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200641</v>
      </c>
      <c r="D38" s="7">
        <v>209536</v>
      </c>
    </row>
    <row r="39" spans="1:4" x14ac:dyDescent="0.25">
      <c r="A39" s="8" t="s">
        <v>497</v>
      </c>
      <c r="B39" s="9">
        <v>8</v>
      </c>
      <c r="C39" s="9">
        <v>2937</v>
      </c>
      <c r="D39" s="9">
        <v>3294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1125</v>
      </c>
      <c r="C43" s="9">
        <v>180317</v>
      </c>
      <c r="D43" s="9">
        <v>186235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416053</v>
      </c>
      <c r="D45" s="5">
        <v>428959</v>
      </c>
    </row>
    <row r="46" spans="1:4" x14ac:dyDescent="0.25">
      <c r="A46" s="4" t="s">
        <v>39</v>
      </c>
      <c r="B46" s="5">
        <v>0</v>
      </c>
      <c r="C46" s="5">
        <v>463453</v>
      </c>
      <c r="D46" s="5">
        <v>505492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10</v>
      </c>
      <c r="C49" s="9">
        <v>1412</v>
      </c>
      <c r="D49" s="9">
        <v>2351</v>
      </c>
    </row>
    <row r="50" spans="1:4" x14ac:dyDescent="0.25">
      <c r="A50" s="6" t="s">
        <v>501</v>
      </c>
      <c r="B50" s="7">
        <v>0</v>
      </c>
      <c r="C50" s="7">
        <v>28058</v>
      </c>
      <c r="D50" s="7">
        <v>38683</v>
      </c>
    </row>
    <row r="51" spans="1:4" x14ac:dyDescent="0.25">
      <c r="A51" s="8" t="s">
        <v>44</v>
      </c>
      <c r="B51" s="9">
        <v>11</v>
      </c>
      <c r="C51" s="9">
        <v>18882</v>
      </c>
      <c r="D51" s="9">
        <v>28576</v>
      </c>
    </row>
    <row r="52" spans="1:4" x14ac:dyDescent="0.25">
      <c r="A52" s="6" t="s">
        <v>46</v>
      </c>
      <c r="B52" s="7">
        <v>0</v>
      </c>
      <c r="C52" s="7">
        <v>0</v>
      </c>
      <c r="D52" s="7">
        <v>188</v>
      </c>
    </row>
    <row r="53" spans="1:4" x14ac:dyDescent="0.25">
      <c r="A53" s="8" t="s">
        <v>45</v>
      </c>
      <c r="B53" s="9">
        <v>12</v>
      </c>
      <c r="C53" s="9">
        <v>9176</v>
      </c>
      <c r="D53" s="9">
        <v>9919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1126</v>
      </c>
      <c r="C58" s="7">
        <v>11541</v>
      </c>
      <c r="D58" s="7">
        <v>9423</v>
      </c>
    </row>
    <row r="59" spans="1:4" x14ac:dyDescent="0.25">
      <c r="A59" s="8" t="s">
        <v>504</v>
      </c>
      <c r="B59" s="9">
        <v>0</v>
      </c>
      <c r="C59" s="9">
        <v>41011</v>
      </c>
      <c r="D59" s="9">
        <v>50457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41011</v>
      </c>
      <c r="D61" s="5">
        <v>50457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10</v>
      </c>
      <c r="C63" s="9">
        <v>200079</v>
      </c>
      <c r="D63" s="9">
        <v>186124</v>
      </c>
    </row>
    <row r="64" spans="1:4" x14ac:dyDescent="0.25">
      <c r="A64" s="6" t="s">
        <v>501</v>
      </c>
      <c r="B64" s="7">
        <v>0</v>
      </c>
      <c r="C64" s="7">
        <v>2048</v>
      </c>
      <c r="D64" s="7">
        <v>1632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1632</v>
      </c>
      <c r="D66" s="7">
        <v>1632</v>
      </c>
    </row>
    <row r="67" spans="1:4" x14ac:dyDescent="0.25">
      <c r="A67" s="8" t="s">
        <v>45</v>
      </c>
      <c r="B67" s="9">
        <v>12</v>
      </c>
      <c r="C67" s="9">
        <v>416</v>
      </c>
      <c r="D67" s="9">
        <v>0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13</v>
      </c>
      <c r="C71" s="9">
        <v>830</v>
      </c>
      <c r="D71" s="9">
        <v>5248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1126</v>
      </c>
      <c r="C73" s="9">
        <v>185963</v>
      </c>
      <c r="D73" s="9">
        <v>177906</v>
      </c>
    </row>
    <row r="74" spans="1:4" x14ac:dyDescent="0.25">
      <c r="A74" s="4" t="s">
        <v>59</v>
      </c>
      <c r="B74" s="5">
        <v>0</v>
      </c>
      <c r="C74" s="5">
        <v>388920</v>
      </c>
      <c r="D74" s="5">
        <v>370910</v>
      </c>
    </row>
    <row r="75" spans="1:4" x14ac:dyDescent="0.25">
      <c r="A75" s="4" t="s">
        <v>60</v>
      </c>
      <c r="B75" s="5">
        <v>0</v>
      </c>
      <c r="C75" s="5">
        <v>429931</v>
      </c>
      <c r="D75" s="5">
        <v>421367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14</v>
      </c>
      <c r="C77" s="9">
        <v>61450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1162</v>
      </c>
      <c r="D82" s="7">
        <v>19789</v>
      </c>
    </row>
    <row r="83" spans="1:6" x14ac:dyDescent="0.25">
      <c r="A83" s="8" t="s">
        <v>68</v>
      </c>
      <c r="B83" s="9">
        <v>0</v>
      </c>
      <c r="C83" s="9">
        <v>0</v>
      </c>
      <c r="D83" s="9" t="s">
        <v>1066</v>
      </c>
    </row>
    <row r="84" spans="1:6" x14ac:dyDescent="0.25">
      <c r="A84" s="4" t="s">
        <v>71</v>
      </c>
      <c r="B84" s="5">
        <v>0</v>
      </c>
      <c r="C84" s="5">
        <v>33522</v>
      </c>
      <c r="D84" s="5">
        <v>84125</v>
      </c>
    </row>
    <row r="85" spans="1:6" x14ac:dyDescent="0.25">
      <c r="A85" s="4" t="s">
        <v>72</v>
      </c>
      <c r="B85" s="5">
        <v>0</v>
      </c>
      <c r="C85" s="5">
        <v>463453</v>
      </c>
      <c r="D85" s="5">
        <v>505492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1163</v>
      </c>
      <c r="D89" s="3" t="s">
        <v>996</v>
      </c>
      <c r="E89" s="3" t="s">
        <v>1164</v>
      </c>
      <c r="F89" s="3" t="s">
        <v>997</v>
      </c>
    </row>
    <row r="90" spans="1:6" x14ac:dyDescent="0.25">
      <c r="A90" s="4" t="s">
        <v>510</v>
      </c>
      <c r="B90" s="5">
        <v>0</v>
      </c>
      <c r="C90" s="5">
        <v>15592</v>
      </c>
      <c r="D90" s="5">
        <v>47991</v>
      </c>
      <c r="E90" s="5">
        <v>49320</v>
      </c>
      <c r="F90" s="5">
        <v>85250</v>
      </c>
    </row>
    <row r="91" spans="1:6" x14ac:dyDescent="0.25">
      <c r="A91" s="8" t="s">
        <v>79</v>
      </c>
      <c r="B91" s="9">
        <v>16</v>
      </c>
      <c r="C91" s="9" t="s">
        <v>1165</v>
      </c>
      <c r="D91" s="9" t="s">
        <v>998</v>
      </c>
      <c r="E91" s="9" t="s">
        <v>1166</v>
      </c>
      <c r="F91" s="9" t="s">
        <v>999</v>
      </c>
    </row>
    <row r="92" spans="1:6" x14ac:dyDescent="0.25">
      <c r="A92" s="4" t="s">
        <v>82</v>
      </c>
      <c r="B92" s="5">
        <v>0</v>
      </c>
      <c r="C92" s="5">
        <v>2069</v>
      </c>
      <c r="D92" s="5">
        <v>17429</v>
      </c>
      <c r="E92" s="5">
        <v>4738</v>
      </c>
      <c r="F92" s="5">
        <v>27471</v>
      </c>
    </row>
    <row r="93" spans="1:6" x14ac:dyDescent="0.25">
      <c r="A93" s="8" t="s">
        <v>83</v>
      </c>
      <c r="B93" s="9">
        <v>18</v>
      </c>
      <c r="C93" s="9" t="s">
        <v>1167</v>
      </c>
      <c r="D93" s="9" t="s">
        <v>1000</v>
      </c>
      <c r="E93" s="9" t="s">
        <v>1168</v>
      </c>
      <c r="F93" s="9" t="s">
        <v>1001</v>
      </c>
    </row>
    <row r="94" spans="1:6" x14ac:dyDescent="0.25">
      <c r="A94" s="6" t="s">
        <v>86</v>
      </c>
      <c r="B94" s="7">
        <v>17</v>
      </c>
      <c r="C94" s="7" t="s">
        <v>1169</v>
      </c>
      <c r="D94" s="7" t="s">
        <v>1002</v>
      </c>
      <c r="E94" s="7" t="s">
        <v>1170</v>
      </c>
      <c r="F94" s="7" t="s">
        <v>1003</v>
      </c>
    </row>
    <row r="95" spans="1:6" x14ac:dyDescent="0.25">
      <c r="A95" s="8" t="s">
        <v>90</v>
      </c>
      <c r="B95" s="9">
        <v>0</v>
      </c>
      <c r="C95" s="9">
        <v>134</v>
      </c>
      <c r="D95" s="9">
        <v>267</v>
      </c>
      <c r="E95" s="9">
        <v>1400</v>
      </c>
      <c r="F95" s="9">
        <v>401</v>
      </c>
    </row>
    <row r="96" spans="1:6" x14ac:dyDescent="0.25">
      <c r="A96" s="6" t="s">
        <v>91</v>
      </c>
      <c r="B96" s="7">
        <v>0</v>
      </c>
      <c r="C96" s="7" t="s">
        <v>1171</v>
      </c>
      <c r="D96" s="7" t="s">
        <v>1004</v>
      </c>
      <c r="E96" s="7" t="s">
        <v>150</v>
      </c>
      <c r="F96" s="7" t="s">
        <v>935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1172</v>
      </c>
      <c r="D98" s="5">
        <v>4480</v>
      </c>
      <c r="E98" s="5" t="s">
        <v>1173</v>
      </c>
      <c r="F98" s="5">
        <v>718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94</v>
      </c>
      <c r="D100" s="7">
        <v>136</v>
      </c>
      <c r="E100" s="7">
        <v>273</v>
      </c>
      <c r="F100" s="7">
        <v>268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1174</v>
      </c>
      <c r="D102" s="7" t="s">
        <v>1005</v>
      </c>
      <c r="E102" s="7" t="s">
        <v>1175</v>
      </c>
      <c r="F102" s="7" t="s">
        <v>1006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 t="s">
        <v>1176</v>
      </c>
      <c r="D105" s="9">
        <v>2599</v>
      </c>
      <c r="E105" s="9" t="s">
        <v>1177</v>
      </c>
      <c r="F105" s="9">
        <v>7756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1178</v>
      </c>
      <c r="D110" s="5">
        <v>1806</v>
      </c>
      <c r="E110" s="5" t="s">
        <v>1179</v>
      </c>
      <c r="F110" s="5" t="s">
        <v>1007</v>
      </c>
    </row>
    <row r="111" spans="1:6" x14ac:dyDescent="0.25">
      <c r="A111" s="8" t="s">
        <v>530</v>
      </c>
      <c r="B111" s="9">
        <v>0</v>
      </c>
      <c r="C111" s="9">
        <v>4347</v>
      </c>
      <c r="D111" s="9" t="s">
        <v>1008</v>
      </c>
      <c r="E111" s="9">
        <v>5208</v>
      </c>
      <c r="F111" s="9" t="s">
        <v>1009</v>
      </c>
    </row>
    <row r="112" spans="1:6" x14ac:dyDescent="0.25">
      <c r="A112" s="6" t="s">
        <v>531</v>
      </c>
      <c r="B112" s="7">
        <v>0</v>
      </c>
      <c r="C112" s="7" t="s">
        <v>1180</v>
      </c>
      <c r="D112" s="7">
        <v>1684</v>
      </c>
      <c r="E112" s="7" t="s">
        <v>1181</v>
      </c>
      <c r="F112" s="7" t="s">
        <v>1010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1180</v>
      </c>
      <c r="D114" s="5">
        <v>1684</v>
      </c>
      <c r="E114" s="5" t="s">
        <v>1181</v>
      </c>
      <c r="F114" s="5" t="s">
        <v>1010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1182</v>
      </c>
      <c r="D117" s="9">
        <v>2.8000000000000001E-2</v>
      </c>
      <c r="E117" s="9" t="s">
        <v>1183</v>
      </c>
      <c r="F117" s="9" t="s">
        <v>1012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1182</v>
      </c>
      <c r="D119" s="9">
        <v>2.8000000000000001E-2</v>
      </c>
      <c r="E119" s="9" t="s">
        <v>1183</v>
      </c>
      <c r="F119" s="9" t="s">
        <v>1012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980</v>
      </c>
      <c r="B134" s="7">
        <v>61450</v>
      </c>
      <c r="C134" s="7">
        <v>0</v>
      </c>
      <c r="D134" s="7">
        <v>0</v>
      </c>
      <c r="E134" s="7">
        <v>0</v>
      </c>
      <c r="F134" s="7">
        <v>2955</v>
      </c>
      <c r="G134" s="7">
        <v>26485</v>
      </c>
      <c r="H134" s="7">
        <v>0</v>
      </c>
      <c r="I134" s="7">
        <v>0</v>
      </c>
      <c r="J134" s="7">
        <v>0</v>
      </c>
      <c r="K134" s="7" t="s">
        <v>967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967</v>
      </c>
      <c r="X134" s="7">
        <v>90039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2955</v>
      </c>
      <c r="G137" s="9">
        <v>26485</v>
      </c>
      <c r="H137" s="9">
        <v>0</v>
      </c>
      <c r="I137" s="9">
        <v>0</v>
      </c>
      <c r="J137" s="9">
        <v>0</v>
      </c>
      <c r="K137" s="9" t="s">
        <v>967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967</v>
      </c>
      <c r="X137" s="9">
        <v>90039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1010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1010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403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403</v>
      </c>
      <c r="X141" s="9">
        <v>403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1010</v>
      </c>
      <c r="H142" s="7">
        <v>0</v>
      </c>
      <c r="I142" s="7">
        <v>0</v>
      </c>
      <c r="J142" s="7">
        <v>0</v>
      </c>
      <c r="K142" s="7">
        <v>403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403</v>
      </c>
      <c r="X142" s="7" t="s">
        <v>1014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80</v>
      </c>
      <c r="G155" s="9" t="s">
        <v>384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80</v>
      </c>
      <c r="G156" s="7" t="s">
        <v>1015</v>
      </c>
      <c r="H156" s="7">
        <v>0</v>
      </c>
      <c r="I156" s="7">
        <v>0</v>
      </c>
      <c r="J156" s="7">
        <v>0</v>
      </c>
      <c r="K156" s="7">
        <v>403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403</v>
      </c>
      <c r="X156" s="7" t="s">
        <v>1014</v>
      </c>
    </row>
    <row r="157" spans="1:24" x14ac:dyDescent="0.25">
      <c r="A157" s="8" t="s">
        <v>1016</v>
      </c>
      <c r="B157" s="9">
        <v>61450</v>
      </c>
      <c r="C157" s="9">
        <v>0</v>
      </c>
      <c r="D157" s="9">
        <v>0</v>
      </c>
      <c r="E157" s="9">
        <v>0</v>
      </c>
      <c r="F157" s="9">
        <v>3035</v>
      </c>
      <c r="G157" s="9">
        <v>24214</v>
      </c>
      <c r="H157" s="9">
        <v>0</v>
      </c>
      <c r="I157" s="9">
        <v>0</v>
      </c>
      <c r="J157" s="9">
        <v>0</v>
      </c>
      <c r="K157" s="9" t="s">
        <v>995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995</v>
      </c>
      <c r="X157" s="9">
        <v>88251</v>
      </c>
    </row>
    <row r="158" spans="1:24" x14ac:dyDescent="0.25">
      <c r="A158" s="6" t="s">
        <v>1140</v>
      </c>
      <c r="B158" s="7">
        <v>61450</v>
      </c>
      <c r="C158" s="7">
        <v>0</v>
      </c>
      <c r="D158" s="7">
        <v>0</v>
      </c>
      <c r="E158" s="7">
        <v>0</v>
      </c>
      <c r="F158" s="7">
        <v>3036</v>
      </c>
      <c r="G158" s="7">
        <v>19789</v>
      </c>
      <c r="H158" s="7">
        <v>0</v>
      </c>
      <c r="I158" s="7">
        <v>0</v>
      </c>
      <c r="J158" s="7">
        <v>0</v>
      </c>
      <c r="K158" s="7" t="s">
        <v>1066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1066</v>
      </c>
      <c r="X158" s="7">
        <v>84125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3036</v>
      </c>
      <c r="G161" s="9">
        <v>19789</v>
      </c>
      <c r="H161" s="9">
        <v>0</v>
      </c>
      <c r="I161" s="9">
        <v>0</v>
      </c>
      <c r="J161" s="9">
        <v>0</v>
      </c>
      <c r="K161" s="9" t="s">
        <v>1066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1066</v>
      </c>
      <c r="X161" s="9">
        <v>84125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1181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1181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150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150</v>
      </c>
      <c r="X165" s="9">
        <v>150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1181</v>
      </c>
      <c r="H166" s="7">
        <v>0</v>
      </c>
      <c r="I166" s="7">
        <v>0</v>
      </c>
      <c r="J166" s="7">
        <v>0</v>
      </c>
      <c r="K166" s="7">
        <v>150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150</v>
      </c>
      <c r="X166" s="7" t="s">
        <v>1184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1142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1142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 t="s">
        <v>1185</v>
      </c>
      <c r="H180" s="7">
        <v>0</v>
      </c>
      <c r="I180" s="7">
        <v>0</v>
      </c>
      <c r="J180" s="7">
        <v>0</v>
      </c>
      <c r="K180" s="7">
        <v>150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150</v>
      </c>
      <c r="X180" s="7" t="s">
        <v>1186</v>
      </c>
    </row>
    <row r="181" spans="1:24" x14ac:dyDescent="0.25">
      <c r="A181" s="8" t="s">
        <v>1187</v>
      </c>
      <c r="B181" s="9">
        <v>61450</v>
      </c>
      <c r="C181" s="9">
        <v>0</v>
      </c>
      <c r="D181" s="9">
        <v>0</v>
      </c>
      <c r="E181" s="9">
        <v>0</v>
      </c>
      <c r="F181" s="9">
        <v>3036</v>
      </c>
      <c r="G181" s="9" t="s">
        <v>1162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33522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1188</v>
      </c>
      <c r="D185" s="3" t="s">
        <v>1017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44962</v>
      </c>
      <c r="D188" s="7">
        <v>78741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1189</v>
      </c>
      <c r="D194" s="7" t="s">
        <v>1018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1190</v>
      </c>
      <c r="D196" s="7" t="s">
        <v>1019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1191</v>
      </c>
      <c r="D198" s="7" t="s">
        <v>1020</v>
      </c>
    </row>
    <row r="199" spans="1:4" x14ac:dyDescent="0.25">
      <c r="A199" s="8" t="s">
        <v>591</v>
      </c>
      <c r="B199" s="9">
        <v>0</v>
      </c>
      <c r="C199" s="9" t="s">
        <v>1192</v>
      </c>
      <c r="D199" s="9">
        <v>1639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 t="s">
        <v>1192</v>
      </c>
      <c r="D206" s="5">
        <v>1639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 t="s">
        <v>1193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1194</v>
      </c>
      <c r="D229" s="9" t="s">
        <v>1021</v>
      </c>
    </row>
    <row r="230" spans="1:4" x14ac:dyDescent="0.25">
      <c r="A230" s="6" t="s">
        <v>224</v>
      </c>
      <c r="B230" s="7">
        <v>0</v>
      </c>
      <c r="C230" s="7" t="s">
        <v>1195</v>
      </c>
      <c r="D230" s="7" t="s">
        <v>712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1196</v>
      </c>
      <c r="D234" s="5" t="s">
        <v>1022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10000</v>
      </c>
      <c r="D237" s="9">
        <v>38958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1197</v>
      </c>
      <c r="D244" s="7" t="s">
        <v>1023</v>
      </c>
    </row>
    <row r="245" spans="1:4" x14ac:dyDescent="0.25">
      <c r="A245" s="8" t="s">
        <v>243</v>
      </c>
      <c r="B245" s="9">
        <v>0</v>
      </c>
      <c r="C245" s="9" t="s">
        <v>1198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1199</v>
      </c>
      <c r="D250" s="7" t="s">
        <v>950</v>
      </c>
    </row>
    <row r="251" spans="1:4" x14ac:dyDescent="0.25">
      <c r="A251" s="8" t="s">
        <v>629</v>
      </c>
      <c r="B251" s="9">
        <v>0</v>
      </c>
      <c r="C251" s="9" t="s">
        <v>1142</v>
      </c>
      <c r="D251" s="9" t="s">
        <v>991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1200</v>
      </c>
      <c r="D254" s="5">
        <v>6081</v>
      </c>
    </row>
    <row r="255" spans="1:4" x14ac:dyDescent="0.25">
      <c r="A255" s="8" t="s">
        <v>250</v>
      </c>
      <c r="B255" s="9">
        <v>0</v>
      </c>
      <c r="C255" s="9" t="s">
        <v>1034</v>
      </c>
      <c r="D255" s="9">
        <v>1936</v>
      </c>
    </row>
    <row r="256" spans="1:4" x14ac:dyDescent="0.25">
      <c r="A256" s="6" t="s">
        <v>253</v>
      </c>
      <c r="B256" s="7">
        <v>0</v>
      </c>
      <c r="C256" s="7" t="s">
        <v>1201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1202</v>
      </c>
      <c r="D257" s="9">
        <v>1936</v>
      </c>
    </row>
    <row r="258" spans="1:6" x14ac:dyDescent="0.25">
      <c r="A258" s="6" t="s">
        <v>255</v>
      </c>
      <c r="B258" s="7">
        <v>3</v>
      </c>
      <c r="C258" s="7">
        <v>56407</v>
      </c>
      <c r="D258" s="7">
        <v>3308</v>
      </c>
    </row>
    <row r="259" spans="1:6" x14ac:dyDescent="0.25">
      <c r="A259" s="4" t="s">
        <v>256</v>
      </c>
      <c r="B259" s="5">
        <v>3</v>
      </c>
      <c r="C259" s="5">
        <v>19810</v>
      </c>
      <c r="D259" s="5">
        <v>5244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1163</v>
      </c>
      <c r="D263" s="3" t="s">
        <v>996</v>
      </c>
      <c r="E263" s="3" t="s">
        <v>1164</v>
      </c>
      <c r="F263" s="3" t="s">
        <v>997</v>
      </c>
    </row>
    <row r="264" spans="1:6" x14ac:dyDescent="0.25">
      <c r="A264" s="6" t="s">
        <v>258</v>
      </c>
      <c r="B264" s="7">
        <v>0</v>
      </c>
      <c r="C264" s="7" t="s">
        <v>1180</v>
      </c>
      <c r="D264" s="7">
        <v>1684</v>
      </c>
      <c r="E264" s="7" t="s">
        <v>1181</v>
      </c>
      <c r="F264" s="7" t="s">
        <v>1010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182</v>
      </c>
      <c r="E269" s="9">
        <v>150</v>
      </c>
      <c r="F269" s="9">
        <v>403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0</v>
      </c>
      <c r="D272" s="7">
        <v>182</v>
      </c>
      <c r="E272" s="7">
        <v>150</v>
      </c>
      <c r="F272" s="7">
        <v>403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0</v>
      </c>
      <c r="D303" s="5">
        <v>182</v>
      </c>
      <c r="E303" s="5">
        <v>150</v>
      </c>
      <c r="F303" s="5">
        <v>403</v>
      </c>
    </row>
    <row r="304" spans="1:6" x14ac:dyDescent="0.25">
      <c r="A304" s="4" t="s">
        <v>671</v>
      </c>
      <c r="B304" s="5">
        <v>0</v>
      </c>
      <c r="C304" s="5" t="s">
        <v>1180</v>
      </c>
      <c r="D304" s="5">
        <v>1866</v>
      </c>
      <c r="E304" s="5" t="s">
        <v>1184</v>
      </c>
      <c r="F304" s="5" t="s">
        <v>1014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44057.834236111099</v>
      </c>
    </row>
    <row r="311" spans="1:2" x14ac:dyDescent="0.25">
      <c r="A311" s="8" t="s">
        <v>277</v>
      </c>
      <c r="B311" s="10">
        <v>44057.833136574103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44057.833148148202</v>
      </c>
    </row>
    <row r="314" spans="1:2" x14ac:dyDescent="0.25">
      <c r="A314" s="6" t="s">
        <v>276</v>
      </c>
      <c r="B314" s="11">
        <v>44057.834386574097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44057.834525462997</v>
      </c>
    </row>
    <row r="317" spans="1:2" x14ac:dyDescent="0.25">
      <c r="A317" s="8" t="s">
        <v>277</v>
      </c>
      <c r="B317" s="10">
        <v>44057.833171296297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44057.833182870403</v>
      </c>
    </row>
    <row r="320" spans="1:2" x14ac:dyDescent="0.25">
      <c r="A320" s="6" t="s">
        <v>276</v>
      </c>
      <c r="B320" s="11">
        <v>44057.834652777798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E21C-3AC5-4081-B538-F2D664D51C58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9" customWidth="1"/>
    <col min="5" max="6" width="51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1203</v>
      </c>
    </row>
    <row r="3" spans="1:4" x14ac:dyDescent="0.25">
      <c r="A3" t="s">
        <v>1123</v>
      </c>
    </row>
    <row r="4" spans="1:4" x14ac:dyDescent="0.25">
      <c r="A4" t="s">
        <v>353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1204</v>
      </c>
      <c r="D9" s="3" t="s">
        <v>1065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15888</v>
      </c>
      <c r="D12" s="7">
        <v>56407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27823</v>
      </c>
      <c r="D14" s="7">
        <v>15169</v>
      </c>
    </row>
    <row r="15" spans="1:4" x14ac:dyDescent="0.25">
      <c r="A15" s="8" t="s">
        <v>31</v>
      </c>
      <c r="B15" s="9">
        <v>4</v>
      </c>
      <c r="C15" s="9">
        <v>23549</v>
      </c>
      <c r="D15" s="9">
        <v>7698</v>
      </c>
    </row>
    <row r="16" spans="1:4" x14ac:dyDescent="0.25">
      <c r="A16" s="6" t="s">
        <v>18</v>
      </c>
      <c r="B16" s="7">
        <v>0</v>
      </c>
      <c r="C16" s="7">
        <v>5</v>
      </c>
      <c r="D16" s="7">
        <v>8</v>
      </c>
    </row>
    <row r="17" spans="1:4" x14ac:dyDescent="0.25">
      <c r="A17" s="8" t="s">
        <v>32</v>
      </c>
      <c r="B17" s="9">
        <v>0</v>
      </c>
      <c r="C17" s="9">
        <v>4269</v>
      </c>
      <c r="D17" s="9">
        <v>7463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2342</v>
      </c>
      <c r="D19" s="9">
        <v>2222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3765</v>
      </c>
      <c r="D22" s="7">
        <v>2735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49818</v>
      </c>
      <c r="D24" s="7">
        <v>76533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49818</v>
      </c>
      <c r="D26" s="5">
        <v>76533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20450</v>
      </c>
      <c r="D30" s="7">
        <v>17088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15168</v>
      </c>
      <c r="D32" s="7">
        <v>13529</v>
      </c>
    </row>
    <row r="33" spans="1:4" x14ac:dyDescent="0.25">
      <c r="A33" s="8" t="s">
        <v>32</v>
      </c>
      <c r="B33" s="9">
        <v>0</v>
      </c>
      <c r="C33" s="9">
        <v>5282</v>
      </c>
      <c r="D33" s="9">
        <v>3559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192076</v>
      </c>
      <c r="D38" s="7">
        <v>209536</v>
      </c>
    </row>
    <row r="39" spans="1:4" x14ac:dyDescent="0.25">
      <c r="A39" s="8" t="s">
        <v>497</v>
      </c>
      <c r="B39" s="9">
        <v>8</v>
      </c>
      <c r="C39" s="9">
        <v>3090</v>
      </c>
      <c r="D39" s="9">
        <v>3294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1125</v>
      </c>
      <c r="C43" s="9">
        <v>138803</v>
      </c>
      <c r="D43" s="9">
        <v>186235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367225</v>
      </c>
      <c r="D45" s="5">
        <v>428959</v>
      </c>
    </row>
    <row r="46" spans="1:4" x14ac:dyDescent="0.25">
      <c r="A46" s="4" t="s">
        <v>39</v>
      </c>
      <c r="B46" s="5">
        <v>0</v>
      </c>
      <c r="C46" s="5">
        <v>417043</v>
      </c>
      <c r="D46" s="5">
        <v>505492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10</v>
      </c>
      <c r="C49" s="9">
        <v>4325</v>
      </c>
      <c r="D49" s="9">
        <v>2351</v>
      </c>
    </row>
    <row r="50" spans="1:4" x14ac:dyDescent="0.25">
      <c r="A50" s="6" t="s">
        <v>501</v>
      </c>
      <c r="B50" s="7">
        <v>0</v>
      </c>
      <c r="C50" s="7">
        <v>23889</v>
      </c>
      <c r="D50" s="7">
        <v>38683</v>
      </c>
    </row>
    <row r="51" spans="1:4" x14ac:dyDescent="0.25">
      <c r="A51" s="8" t="s">
        <v>44</v>
      </c>
      <c r="B51" s="9">
        <v>11</v>
      </c>
      <c r="C51" s="9">
        <v>15067</v>
      </c>
      <c r="D51" s="9">
        <v>28576</v>
      </c>
    </row>
    <row r="52" spans="1:4" x14ac:dyDescent="0.25">
      <c r="A52" s="6" t="s">
        <v>46</v>
      </c>
      <c r="B52" s="7">
        <v>0</v>
      </c>
      <c r="C52" s="7">
        <v>0</v>
      </c>
      <c r="D52" s="7">
        <v>188</v>
      </c>
    </row>
    <row r="53" spans="1:4" x14ac:dyDescent="0.25">
      <c r="A53" s="8" t="s">
        <v>45</v>
      </c>
      <c r="B53" s="9">
        <v>12</v>
      </c>
      <c r="C53" s="9">
        <v>8822</v>
      </c>
      <c r="D53" s="9">
        <v>9919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1126</v>
      </c>
      <c r="C58" s="7">
        <v>10490</v>
      </c>
      <c r="D58" s="7">
        <v>9423</v>
      </c>
    </row>
    <row r="59" spans="1:4" x14ac:dyDescent="0.25">
      <c r="A59" s="8" t="s">
        <v>504</v>
      </c>
      <c r="B59" s="9">
        <v>0</v>
      </c>
      <c r="C59" s="9">
        <v>38704</v>
      </c>
      <c r="D59" s="9">
        <v>50457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38704</v>
      </c>
      <c r="D61" s="5">
        <v>50457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10</v>
      </c>
      <c r="C63" s="9">
        <v>200799</v>
      </c>
      <c r="D63" s="9">
        <v>186124</v>
      </c>
    </row>
    <row r="64" spans="1:4" x14ac:dyDescent="0.25">
      <c r="A64" s="6" t="s">
        <v>501</v>
      </c>
      <c r="B64" s="7">
        <v>0</v>
      </c>
      <c r="C64" s="7">
        <v>1632</v>
      </c>
      <c r="D64" s="7">
        <v>1632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1632</v>
      </c>
      <c r="D66" s="7">
        <v>1632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13</v>
      </c>
      <c r="C71" s="9">
        <v>742</v>
      </c>
      <c r="D71" s="9">
        <v>5248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1126</v>
      </c>
      <c r="C73" s="9">
        <v>145448</v>
      </c>
      <c r="D73" s="9">
        <v>177906</v>
      </c>
    </row>
    <row r="74" spans="1:4" x14ac:dyDescent="0.25">
      <c r="A74" s="4" t="s">
        <v>59</v>
      </c>
      <c r="B74" s="5">
        <v>0</v>
      </c>
      <c r="C74" s="5">
        <v>348621</v>
      </c>
      <c r="D74" s="5">
        <v>370910</v>
      </c>
    </row>
    <row r="75" spans="1:4" x14ac:dyDescent="0.25">
      <c r="A75" s="4" t="s">
        <v>60</v>
      </c>
      <c r="B75" s="5">
        <v>0</v>
      </c>
      <c r="C75" s="5">
        <v>387325</v>
      </c>
      <c r="D75" s="5">
        <v>421367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14</v>
      </c>
      <c r="C77" s="9">
        <v>70661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1205</v>
      </c>
      <c r="D82" s="7">
        <v>19789</v>
      </c>
    </row>
    <row r="83" spans="1:6" x14ac:dyDescent="0.25">
      <c r="A83" s="8" t="s">
        <v>68</v>
      </c>
      <c r="B83" s="9">
        <v>0</v>
      </c>
      <c r="C83" s="9">
        <v>0</v>
      </c>
      <c r="D83" s="9" t="s">
        <v>1066</v>
      </c>
    </row>
    <row r="84" spans="1:6" x14ac:dyDescent="0.25">
      <c r="A84" s="4" t="s">
        <v>71</v>
      </c>
      <c r="B84" s="5">
        <v>0</v>
      </c>
      <c r="C84" s="5">
        <v>29718</v>
      </c>
      <c r="D84" s="5">
        <v>84125</v>
      </c>
    </row>
    <row r="85" spans="1:6" x14ac:dyDescent="0.25">
      <c r="A85" s="4" t="s">
        <v>72</v>
      </c>
      <c r="B85" s="5">
        <v>0</v>
      </c>
      <c r="C85" s="5">
        <v>417043</v>
      </c>
      <c r="D85" s="5">
        <v>505492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1206</v>
      </c>
      <c r="D89" s="3" t="s">
        <v>1027</v>
      </c>
      <c r="E89" s="3" t="s">
        <v>1207</v>
      </c>
      <c r="F89" s="3" t="s">
        <v>1028</v>
      </c>
    </row>
    <row r="90" spans="1:6" x14ac:dyDescent="0.25">
      <c r="A90" s="4" t="s">
        <v>510</v>
      </c>
      <c r="B90" s="5">
        <v>0</v>
      </c>
      <c r="C90" s="5">
        <v>21589</v>
      </c>
      <c r="D90" s="5">
        <v>52862</v>
      </c>
      <c r="E90" s="5">
        <v>70909</v>
      </c>
      <c r="F90" s="5">
        <v>138112</v>
      </c>
    </row>
    <row r="91" spans="1:6" x14ac:dyDescent="0.25">
      <c r="A91" s="8" t="s">
        <v>79</v>
      </c>
      <c r="B91" s="9">
        <v>16</v>
      </c>
      <c r="C91" s="9" t="s">
        <v>1208</v>
      </c>
      <c r="D91" s="9" t="s">
        <v>1029</v>
      </c>
      <c r="E91" s="9" t="s">
        <v>1209</v>
      </c>
      <c r="F91" s="9" t="s">
        <v>1030</v>
      </c>
    </row>
    <row r="92" spans="1:6" x14ac:dyDescent="0.25">
      <c r="A92" s="4" t="s">
        <v>82</v>
      </c>
      <c r="B92" s="5">
        <v>0</v>
      </c>
      <c r="C92" s="5">
        <v>1196</v>
      </c>
      <c r="D92" s="5">
        <v>20081</v>
      </c>
      <c r="E92" s="5">
        <v>5934</v>
      </c>
      <c r="F92" s="5">
        <v>47552</v>
      </c>
    </row>
    <row r="93" spans="1:6" x14ac:dyDescent="0.25">
      <c r="A93" s="8" t="s">
        <v>83</v>
      </c>
      <c r="B93" s="9">
        <v>18</v>
      </c>
      <c r="C93" s="9" t="s">
        <v>1210</v>
      </c>
      <c r="D93" s="9" t="s">
        <v>1031</v>
      </c>
      <c r="E93" s="9" t="s">
        <v>1211</v>
      </c>
      <c r="F93" s="9" t="s">
        <v>1032</v>
      </c>
    </row>
    <row r="94" spans="1:6" x14ac:dyDescent="0.25">
      <c r="A94" s="6" t="s">
        <v>86</v>
      </c>
      <c r="B94" s="7">
        <v>17</v>
      </c>
      <c r="C94" s="7" t="s">
        <v>1212</v>
      </c>
      <c r="D94" s="7" t="s">
        <v>1033</v>
      </c>
      <c r="E94" s="7" t="s">
        <v>1213</v>
      </c>
      <c r="F94" s="7" t="s">
        <v>1034</v>
      </c>
    </row>
    <row r="95" spans="1:6" x14ac:dyDescent="0.25">
      <c r="A95" s="8" t="s">
        <v>90</v>
      </c>
      <c r="B95" s="9">
        <v>0</v>
      </c>
      <c r="C95" s="9">
        <v>5209</v>
      </c>
      <c r="D95" s="9">
        <v>253</v>
      </c>
      <c r="E95" s="9">
        <v>6609</v>
      </c>
      <c r="F95" s="9">
        <v>654</v>
      </c>
    </row>
    <row r="96" spans="1:6" x14ac:dyDescent="0.25">
      <c r="A96" s="6" t="s">
        <v>91</v>
      </c>
      <c r="B96" s="7">
        <v>0</v>
      </c>
      <c r="C96" s="7" t="s">
        <v>1214</v>
      </c>
      <c r="D96" s="7" t="s">
        <v>1035</v>
      </c>
      <c r="E96" s="7" t="s">
        <v>1215</v>
      </c>
      <c r="F96" s="7" t="s">
        <v>1036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1216</v>
      </c>
      <c r="D98" s="5">
        <v>7078</v>
      </c>
      <c r="E98" s="5" t="s">
        <v>1217</v>
      </c>
      <c r="F98" s="5">
        <v>7796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207</v>
      </c>
      <c r="D100" s="7" t="s">
        <v>486</v>
      </c>
      <c r="E100" s="7">
        <v>480</v>
      </c>
      <c r="F100" s="7">
        <v>267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482</v>
      </c>
      <c r="D102" s="7" t="s">
        <v>1037</v>
      </c>
      <c r="E102" s="7" t="s">
        <v>1218</v>
      </c>
      <c r="F102" s="7" t="s">
        <v>1038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>
        <v>0</v>
      </c>
      <c r="C105" s="9" t="s">
        <v>1219</v>
      </c>
      <c r="D105" s="9" t="s">
        <v>1039</v>
      </c>
      <c r="E105" s="9" t="s">
        <v>1220</v>
      </c>
      <c r="F105" s="9" t="s">
        <v>1040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1221</v>
      </c>
      <c r="D110" s="5" t="s">
        <v>1041</v>
      </c>
      <c r="E110" s="5" t="s">
        <v>1222</v>
      </c>
      <c r="F110" s="5" t="s">
        <v>1042</v>
      </c>
    </row>
    <row r="111" spans="1:6" x14ac:dyDescent="0.25">
      <c r="A111" s="8" t="s">
        <v>530</v>
      </c>
      <c r="B111" s="9">
        <v>0</v>
      </c>
      <c r="C111" s="9">
        <v>0</v>
      </c>
      <c r="D111" s="9" t="s">
        <v>1043</v>
      </c>
      <c r="E111" s="9">
        <v>5208</v>
      </c>
      <c r="F111" s="9" t="s">
        <v>1044</v>
      </c>
    </row>
    <row r="112" spans="1:6" x14ac:dyDescent="0.25">
      <c r="A112" s="6" t="s">
        <v>531</v>
      </c>
      <c r="B112" s="7">
        <v>0</v>
      </c>
      <c r="C112" s="7" t="s">
        <v>1221</v>
      </c>
      <c r="D112" s="7" t="s">
        <v>1045</v>
      </c>
      <c r="E112" s="7" t="s">
        <v>1223</v>
      </c>
      <c r="F112" s="7" t="s">
        <v>1046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1221</v>
      </c>
      <c r="D114" s="5" t="s">
        <v>1045</v>
      </c>
      <c r="E114" s="5" t="s">
        <v>1223</v>
      </c>
      <c r="F114" s="5" t="s">
        <v>1046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1224</v>
      </c>
      <c r="D117" s="9" t="s">
        <v>1047</v>
      </c>
      <c r="E117" s="9" t="s">
        <v>1225</v>
      </c>
      <c r="F117" s="9" t="s">
        <v>1048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1224</v>
      </c>
      <c r="D119" s="9" t="s">
        <v>1047</v>
      </c>
      <c r="E119" s="9" t="s">
        <v>1225</v>
      </c>
      <c r="F119" s="9" t="s">
        <v>1048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980</v>
      </c>
      <c r="B134" s="7">
        <v>61450</v>
      </c>
      <c r="C134" s="7">
        <v>0</v>
      </c>
      <c r="D134" s="7">
        <v>0</v>
      </c>
      <c r="E134" s="7">
        <v>0</v>
      </c>
      <c r="F134" s="7">
        <v>2955</v>
      </c>
      <c r="G134" s="7">
        <v>26485</v>
      </c>
      <c r="H134" s="7">
        <v>0</v>
      </c>
      <c r="I134" s="7">
        <v>0</v>
      </c>
      <c r="J134" s="7">
        <v>0</v>
      </c>
      <c r="K134" s="7" t="s">
        <v>967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967</v>
      </c>
      <c r="X134" s="7">
        <v>90039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2955</v>
      </c>
      <c r="G137" s="9">
        <v>26485</v>
      </c>
      <c r="H137" s="9">
        <v>0</v>
      </c>
      <c r="I137" s="9">
        <v>0</v>
      </c>
      <c r="J137" s="9">
        <v>0</v>
      </c>
      <c r="K137" s="9" t="s">
        <v>967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967</v>
      </c>
      <c r="X137" s="9">
        <v>90039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1046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1046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517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517</v>
      </c>
      <c r="X141" s="9">
        <v>517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1046</v>
      </c>
      <c r="H142" s="7">
        <v>0</v>
      </c>
      <c r="I142" s="7">
        <v>0</v>
      </c>
      <c r="J142" s="7">
        <v>0</v>
      </c>
      <c r="K142" s="7">
        <v>517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517</v>
      </c>
      <c r="X142" s="7" t="s">
        <v>1050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80</v>
      </c>
      <c r="G155" s="9" t="s">
        <v>384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80</v>
      </c>
      <c r="G156" s="7" t="s">
        <v>1051</v>
      </c>
      <c r="H156" s="7">
        <v>0</v>
      </c>
      <c r="I156" s="7">
        <v>0</v>
      </c>
      <c r="J156" s="7">
        <v>0</v>
      </c>
      <c r="K156" s="7">
        <v>517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517</v>
      </c>
      <c r="X156" s="7" t="s">
        <v>1050</v>
      </c>
    </row>
    <row r="157" spans="1:24" x14ac:dyDescent="0.25">
      <c r="A157" s="8" t="s">
        <v>1052</v>
      </c>
      <c r="B157" s="9">
        <v>61450</v>
      </c>
      <c r="C157" s="9">
        <v>0</v>
      </c>
      <c r="D157" s="9">
        <v>0</v>
      </c>
      <c r="E157" s="9">
        <v>0</v>
      </c>
      <c r="F157" s="9">
        <v>3035</v>
      </c>
      <c r="G157" s="9">
        <v>16461</v>
      </c>
      <c r="H157" s="9">
        <v>0</v>
      </c>
      <c r="I157" s="9">
        <v>0</v>
      </c>
      <c r="J157" s="9">
        <v>0</v>
      </c>
      <c r="K157" s="9" t="s">
        <v>1026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1026</v>
      </c>
      <c r="X157" s="9">
        <v>80612</v>
      </c>
    </row>
    <row r="158" spans="1:24" x14ac:dyDescent="0.25">
      <c r="A158" s="6" t="s">
        <v>1140</v>
      </c>
      <c r="B158" s="7">
        <v>61450</v>
      </c>
      <c r="C158" s="7">
        <v>0</v>
      </c>
      <c r="D158" s="7">
        <v>0</v>
      </c>
      <c r="E158" s="7">
        <v>0</v>
      </c>
      <c r="F158" s="7">
        <v>3036</v>
      </c>
      <c r="G158" s="7">
        <v>19789</v>
      </c>
      <c r="H158" s="7">
        <v>0</v>
      </c>
      <c r="I158" s="7">
        <v>0</v>
      </c>
      <c r="J158" s="7">
        <v>0</v>
      </c>
      <c r="K158" s="7" t="s">
        <v>1066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1066</v>
      </c>
      <c r="X158" s="7">
        <v>84125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3036</v>
      </c>
      <c r="G161" s="9">
        <v>19789</v>
      </c>
      <c r="H161" s="9">
        <v>0</v>
      </c>
      <c r="I161" s="9">
        <v>0</v>
      </c>
      <c r="J161" s="9">
        <v>0</v>
      </c>
      <c r="K161" s="9" t="s">
        <v>1066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1066</v>
      </c>
      <c r="X161" s="9">
        <v>84125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1223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1223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150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150</v>
      </c>
      <c r="X165" s="9">
        <v>150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1223</v>
      </c>
      <c r="H166" s="7">
        <v>0</v>
      </c>
      <c r="I166" s="7">
        <v>0</v>
      </c>
      <c r="J166" s="7">
        <v>0</v>
      </c>
      <c r="K166" s="7">
        <v>150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150</v>
      </c>
      <c r="X166" s="7" t="s">
        <v>1226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1142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1142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9211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9211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9211</v>
      </c>
      <c r="C180" s="7">
        <v>0</v>
      </c>
      <c r="D180" s="7">
        <v>0</v>
      </c>
      <c r="E180" s="7">
        <v>0</v>
      </c>
      <c r="F180" s="7">
        <v>0</v>
      </c>
      <c r="G180" s="7" t="s">
        <v>1227</v>
      </c>
      <c r="H180" s="7">
        <v>0</v>
      </c>
      <c r="I180" s="7">
        <v>0</v>
      </c>
      <c r="J180" s="7">
        <v>0</v>
      </c>
      <c r="K180" s="7">
        <v>150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150</v>
      </c>
      <c r="X180" s="7" t="s">
        <v>1228</v>
      </c>
    </row>
    <row r="181" spans="1:24" x14ac:dyDescent="0.25">
      <c r="A181" s="8" t="s">
        <v>1229</v>
      </c>
      <c r="B181" s="9">
        <v>70661</v>
      </c>
      <c r="C181" s="9">
        <v>0</v>
      </c>
      <c r="D181" s="9">
        <v>0</v>
      </c>
      <c r="E181" s="9">
        <v>0</v>
      </c>
      <c r="F181" s="9">
        <v>3036</v>
      </c>
      <c r="G181" s="9" t="s">
        <v>1205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29718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1230</v>
      </c>
      <c r="D185" s="3" t="s">
        <v>1053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64696</v>
      </c>
      <c r="D188" s="7">
        <v>132456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1231</v>
      </c>
      <c r="D194" s="7" t="s">
        <v>1054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1232</v>
      </c>
      <c r="D196" s="7" t="s">
        <v>1055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1233</v>
      </c>
      <c r="D198" s="7" t="s">
        <v>1056</v>
      </c>
    </row>
    <row r="199" spans="1:4" x14ac:dyDescent="0.25">
      <c r="A199" s="8" t="s">
        <v>591</v>
      </c>
      <c r="B199" s="9">
        <v>0</v>
      </c>
      <c r="C199" s="9" t="s">
        <v>1234</v>
      </c>
      <c r="D199" s="9">
        <v>8678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 t="s">
        <v>1234</v>
      </c>
      <c r="D206" s="5">
        <v>8678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5616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3471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 t="s">
        <v>1193</v>
      </c>
      <c r="D224" s="7" t="s">
        <v>1057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1235</v>
      </c>
      <c r="D229" s="9" t="s">
        <v>1058</v>
      </c>
    </row>
    <row r="230" spans="1:4" x14ac:dyDescent="0.25">
      <c r="A230" s="6" t="s">
        <v>224</v>
      </c>
      <c r="B230" s="7">
        <v>0</v>
      </c>
      <c r="C230" s="7" t="s">
        <v>1236</v>
      </c>
      <c r="D230" s="7" t="s">
        <v>1059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1237</v>
      </c>
      <c r="D234" s="5" t="s">
        <v>1060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10000</v>
      </c>
      <c r="D237" s="9">
        <v>60449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9212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1238</v>
      </c>
      <c r="D244" s="7" t="s">
        <v>1061</v>
      </c>
    </row>
    <row r="245" spans="1:4" x14ac:dyDescent="0.25">
      <c r="A245" s="8" t="s">
        <v>243</v>
      </c>
      <c r="B245" s="9">
        <v>0</v>
      </c>
      <c r="C245" s="9" t="s">
        <v>1239</v>
      </c>
      <c r="D245" s="9">
        <v>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1240</v>
      </c>
      <c r="D250" s="7" t="s">
        <v>1062</v>
      </c>
    </row>
    <row r="251" spans="1:4" x14ac:dyDescent="0.25">
      <c r="A251" s="8" t="s">
        <v>629</v>
      </c>
      <c r="B251" s="9">
        <v>0</v>
      </c>
      <c r="C251" s="9" t="s">
        <v>1142</v>
      </c>
      <c r="D251" s="9" t="s">
        <v>991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1241</v>
      </c>
      <c r="D254" s="5">
        <v>4100</v>
      </c>
    </row>
    <row r="255" spans="1:4" x14ac:dyDescent="0.25">
      <c r="A255" s="8" t="s">
        <v>250</v>
      </c>
      <c r="B255" s="9">
        <v>0</v>
      </c>
      <c r="C255" s="9" t="s">
        <v>1242</v>
      </c>
      <c r="D255" s="9">
        <v>7210</v>
      </c>
    </row>
    <row r="256" spans="1:4" x14ac:dyDescent="0.25">
      <c r="A256" s="6" t="s">
        <v>253</v>
      </c>
      <c r="B256" s="7">
        <v>0</v>
      </c>
      <c r="C256" s="7" t="s">
        <v>1243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1244</v>
      </c>
      <c r="D257" s="9">
        <v>7210</v>
      </c>
    </row>
    <row r="258" spans="1:6" x14ac:dyDescent="0.25">
      <c r="A258" s="6" t="s">
        <v>255</v>
      </c>
      <c r="B258" s="7">
        <v>3</v>
      </c>
      <c r="C258" s="7">
        <v>56407</v>
      </c>
      <c r="D258" s="7">
        <v>3308</v>
      </c>
    </row>
    <row r="259" spans="1:6" x14ac:dyDescent="0.25">
      <c r="A259" s="4" t="s">
        <v>256</v>
      </c>
      <c r="B259" s="5">
        <v>3</v>
      </c>
      <c r="C259" s="5">
        <v>15888</v>
      </c>
      <c r="D259" s="5">
        <v>10518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1206</v>
      </c>
      <c r="D263" s="3" t="s">
        <v>1027</v>
      </c>
      <c r="E263" s="3" t="s">
        <v>1207</v>
      </c>
      <c r="F263" s="3" t="s">
        <v>1028</v>
      </c>
    </row>
    <row r="264" spans="1:6" x14ac:dyDescent="0.25">
      <c r="A264" s="6" t="s">
        <v>258</v>
      </c>
      <c r="B264" s="7">
        <v>0</v>
      </c>
      <c r="C264" s="7" t="s">
        <v>1221</v>
      </c>
      <c r="D264" s="7" t="s">
        <v>1045</v>
      </c>
      <c r="E264" s="7" t="s">
        <v>1223</v>
      </c>
      <c r="F264" s="7" t="s">
        <v>1046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114</v>
      </c>
      <c r="E269" s="9">
        <v>150</v>
      </c>
      <c r="F269" s="9">
        <v>517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0</v>
      </c>
      <c r="D272" s="7">
        <v>114</v>
      </c>
      <c r="E272" s="7">
        <v>150</v>
      </c>
      <c r="F272" s="7">
        <v>517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0</v>
      </c>
      <c r="D303" s="5">
        <v>114</v>
      </c>
      <c r="E303" s="5">
        <v>150</v>
      </c>
      <c r="F303" s="5">
        <v>517</v>
      </c>
    </row>
    <row r="304" spans="1:6" x14ac:dyDescent="0.25">
      <c r="A304" s="4" t="s">
        <v>671</v>
      </c>
      <c r="B304" s="5">
        <v>0</v>
      </c>
      <c r="C304" s="5" t="s">
        <v>1221</v>
      </c>
      <c r="D304" s="5" t="s">
        <v>1063</v>
      </c>
      <c r="E304" s="5" t="s">
        <v>1226</v>
      </c>
      <c r="F304" s="5" t="s">
        <v>1050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44137.783842592602</v>
      </c>
    </row>
    <row r="311" spans="1:2" x14ac:dyDescent="0.25">
      <c r="A311" s="8" t="s">
        <v>277</v>
      </c>
      <c r="B311" s="10">
        <v>44137.782812500001</v>
      </c>
    </row>
    <row r="312" spans="1:2" x14ac:dyDescent="0.25">
      <c r="A312" s="4" t="s">
        <v>278</v>
      </c>
      <c r="B312" s="5"/>
    </row>
    <row r="313" spans="1:2" x14ac:dyDescent="0.25">
      <c r="A313" s="8" t="s">
        <v>277</v>
      </c>
      <c r="B313" s="10">
        <v>44137.782893518503</v>
      </c>
    </row>
    <row r="314" spans="1:2" x14ac:dyDescent="0.25">
      <c r="A314" s="6" t="s">
        <v>276</v>
      </c>
      <c r="B314" s="11">
        <v>44137.783981481502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44137.784085648098</v>
      </c>
    </row>
    <row r="317" spans="1:2" x14ac:dyDescent="0.25">
      <c r="A317" s="8" t="s">
        <v>277</v>
      </c>
      <c r="B317" s="10">
        <v>44137.782974537004</v>
      </c>
    </row>
    <row r="318" spans="1:2" x14ac:dyDescent="0.25">
      <c r="A318" s="4" t="s">
        <v>280</v>
      </c>
      <c r="B318" s="5"/>
    </row>
    <row r="319" spans="1:2" x14ac:dyDescent="0.25">
      <c r="A319" s="8" t="s">
        <v>277</v>
      </c>
      <c r="B319" s="10">
        <v>44137.783055555599</v>
      </c>
    </row>
    <row r="320" spans="1:2" x14ac:dyDescent="0.25">
      <c r="A320" s="6" t="s">
        <v>276</v>
      </c>
      <c r="B320" s="11">
        <v>44137.784166666701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0CC4-1ECB-4748-9B98-C4E4C8C74B8F}">
  <dimension ref="A1:X320"/>
  <sheetViews>
    <sheetView topLeftCell="A236" workbookViewId="0">
      <selection activeCell="C186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51" customWidth="1"/>
    <col min="5" max="6" width="50.285156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1245</v>
      </c>
    </row>
    <row r="3" spans="1:4" x14ac:dyDescent="0.25">
      <c r="A3" t="s">
        <v>1123</v>
      </c>
    </row>
    <row r="4" spans="1:4" x14ac:dyDescent="0.25">
      <c r="A4" t="s">
        <v>421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1246</v>
      </c>
      <c r="D9" s="3" t="s">
        <v>1065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>
        <v>3</v>
      </c>
      <c r="C12" s="7">
        <v>18866</v>
      </c>
      <c r="D12" s="7">
        <v>56407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18907</v>
      </c>
      <c r="D14" s="7">
        <v>15169</v>
      </c>
    </row>
    <row r="15" spans="1:4" x14ac:dyDescent="0.25">
      <c r="A15" s="8" t="s">
        <v>31</v>
      </c>
      <c r="B15" s="9">
        <v>4</v>
      </c>
      <c r="C15" s="9">
        <v>12814</v>
      </c>
      <c r="D15" s="9">
        <v>7698</v>
      </c>
    </row>
    <row r="16" spans="1:4" x14ac:dyDescent="0.25">
      <c r="A16" s="6" t="s">
        <v>18</v>
      </c>
      <c r="B16" s="7">
        <v>0</v>
      </c>
      <c r="C16" s="7">
        <v>1</v>
      </c>
      <c r="D16" s="7">
        <v>8</v>
      </c>
    </row>
    <row r="17" spans="1:4" x14ac:dyDescent="0.25">
      <c r="A17" s="8" t="s">
        <v>32</v>
      </c>
      <c r="B17" s="9">
        <v>0</v>
      </c>
      <c r="C17" s="9">
        <v>6092</v>
      </c>
      <c r="D17" s="9">
        <v>7463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>
        <v>5</v>
      </c>
      <c r="C19" s="9">
        <v>2226</v>
      </c>
      <c r="D19" s="9">
        <v>2222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>
        <v>0</v>
      </c>
      <c r="C22" s="7">
        <v>3004</v>
      </c>
      <c r="D22" s="7">
        <v>2735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43003</v>
      </c>
      <c r="D24" s="7">
        <v>76533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43003</v>
      </c>
      <c r="D26" s="5">
        <v>76533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>
        <v>6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20144</v>
      </c>
      <c r="D30" s="7">
        <v>17088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>
        <v>0</v>
      </c>
      <c r="C32" s="7">
        <v>15306</v>
      </c>
      <c r="D32" s="7">
        <v>13529</v>
      </c>
    </row>
    <row r="33" spans="1:4" x14ac:dyDescent="0.25">
      <c r="A33" s="8" t="s">
        <v>32</v>
      </c>
      <c r="B33" s="9">
        <v>0</v>
      </c>
      <c r="C33" s="9">
        <v>4838</v>
      </c>
      <c r="D33" s="9">
        <v>3559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>
        <v>7</v>
      </c>
      <c r="C38" s="7">
        <v>191827</v>
      </c>
      <c r="D38" s="7">
        <v>209536</v>
      </c>
    </row>
    <row r="39" spans="1:4" x14ac:dyDescent="0.25">
      <c r="A39" s="8" t="s">
        <v>497</v>
      </c>
      <c r="B39" s="9">
        <v>8</v>
      </c>
      <c r="C39" s="9">
        <v>3044</v>
      </c>
      <c r="D39" s="9">
        <v>3294</v>
      </c>
    </row>
    <row r="40" spans="1:4" x14ac:dyDescent="0.25">
      <c r="A40" s="6" t="s">
        <v>498</v>
      </c>
      <c r="B40" s="7">
        <v>0</v>
      </c>
      <c r="C40" s="7">
        <v>0</v>
      </c>
      <c r="D40" s="7">
        <v>0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1125</v>
      </c>
      <c r="C43" s="9">
        <v>135988</v>
      </c>
      <c r="D43" s="9">
        <v>186235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363809</v>
      </c>
      <c r="D45" s="5">
        <v>428959</v>
      </c>
    </row>
    <row r="46" spans="1:4" x14ac:dyDescent="0.25">
      <c r="A46" s="4" t="s">
        <v>39</v>
      </c>
      <c r="B46" s="5">
        <v>0</v>
      </c>
      <c r="C46" s="5">
        <v>406812</v>
      </c>
      <c r="D46" s="5">
        <v>505492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>
        <v>10</v>
      </c>
      <c r="C49" s="9">
        <v>5755</v>
      </c>
      <c r="D49" s="9">
        <v>2351</v>
      </c>
    </row>
    <row r="50" spans="1:4" x14ac:dyDescent="0.25">
      <c r="A50" s="6" t="s">
        <v>501</v>
      </c>
      <c r="B50" s="7">
        <v>0</v>
      </c>
      <c r="C50" s="7">
        <v>21541</v>
      </c>
      <c r="D50" s="7">
        <v>38683</v>
      </c>
    </row>
    <row r="51" spans="1:4" x14ac:dyDescent="0.25">
      <c r="A51" s="8" t="s">
        <v>44</v>
      </c>
      <c r="B51" s="9">
        <v>11</v>
      </c>
      <c r="C51" s="9">
        <v>13891</v>
      </c>
      <c r="D51" s="9">
        <v>28576</v>
      </c>
    </row>
    <row r="52" spans="1:4" x14ac:dyDescent="0.25">
      <c r="A52" s="6" t="s">
        <v>46</v>
      </c>
      <c r="B52" s="7">
        <v>0</v>
      </c>
      <c r="C52" s="7">
        <v>26</v>
      </c>
      <c r="D52" s="7">
        <v>188</v>
      </c>
    </row>
    <row r="53" spans="1:4" x14ac:dyDescent="0.25">
      <c r="A53" s="8" t="s">
        <v>45</v>
      </c>
      <c r="B53" s="9">
        <v>12</v>
      </c>
      <c r="C53" s="9">
        <v>7624</v>
      </c>
      <c r="D53" s="9">
        <v>9919</v>
      </c>
    </row>
    <row r="54" spans="1:4" x14ac:dyDescent="0.25">
      <c r="A54" s="6" t="s">
        <v>56</v>
      </c>
      <c r="B54" s="7">
        <v>0</v>
      </c>
      <c r="C54" s="7">
        <v>0</v>
      </c>
      <c r="D54" s="7">
        <v>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1126</v>
      </c>
      <c r="C58" s="7">
        <v>9644</v>
      </c>
      <c r="D58" s="7">
        <v>9423</v>
      </c>
    </row>
    <row r="59" spans="1:4" x14ac:dyDescent="0.25">
      <c r="A59" s="8" t="s">
        <v>504</v>
      </c>
      <c r="B59" s="9">
        <v>0</v>
      </c>
      <c r="C59" s="9">
        <v>36940</v>
      </c>
      <c r="D59" s="9">
        <v>50457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36940</v>
      </c>
      <c r="D61" s="5">
        <v>50457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>
        <v>10</v>
      </c>
      <c r="C63" s="9">
        <v>201165</v>
      </c>
      <c r="D63" s="9">
        <v>186124</v>
      </c>
    </row>
    <row r="64" spans="1:4" x14ac:dyDescent="0.25">
      <c r="A64" s="6" t="s">
        <v>501</v>
      </c>
      <c r="B64" s="7">
        <v>0</v>
      </c>
      <c r="C64" s="7">
        <v>2115</v>
      </c>
      <c r="D64" s="7">
        <v>1632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>
        <v>0</v>
      </c>
      <c r="C66" s="7">
        <v>2115</v>
      </c>
      <c r="D66" s="7">
        <v>1632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>
        <v>0</v>
      </c>
      <c r="C68" s="7">
        <v>0</v>
      </c>
      <c r="D68" s="7">
        <v>0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13</v>
      </c>
      <c r="C71" s="9">
        <v>2992</v>
      </c>
      <c r="D71" s="9">
        <v>5248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1126</v>
      </c>
      <c r="C73" s="9">
        <v>145082</v>
      </c>
      <c r="D73" s="9">
        <v>177906</v>
      </c>
    </row>
    <row r="74" spans="1:4" x14ac:dyDescent="0.25">
      <c r="A74" s="4" t="s">
        <v>59</v>
      </c>
      <c r="B74" s="5">
        <v>0</v>
      </c>
      <c r="C74" s="5">
        <v>351354</v>
      </c>
      <c r="D74" s="5">
        <v>370910</v>
      </c>
    </row>
    <row r="75" spans="1:4" x14ac:dyDescent="0.25">
      <c r="A75" s="4" t="s">
        <v>60</v>
      </c>
      <c r="B75" s="5">
        <v>0</v>
      </c>
      <c r="C75" s="5">
        <v>388294</v>
      </c>
      <c r="D75" s="5">
        <v>421367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14</v>
      </c>
      <c r="C77" s="9">
        <v>70661</v>
      </c>
      <c r="D77" s="9">
        <v>61450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1247</v>
      </c>
      <c r="D82" s="7">
        <v>19789</v>
      </c>
    </row>
    <row r="83" spans="1:6" x14ac:dyDescent="0.25">
      <c r="A83" s="8" t="s">
        <v>68</v>
      </c>
      <c r="B83" s="9">
        <v>0</v>
      </c>
      <c r="C83" s="9">
        <v>6241</v>
      </c>
      <c r="D83" s="9" t="s">
        <v>1066</v>
      </c>
    </row>
    <row r="84" spans="1:6" x14ac:dyDescent="0.25">
      <c r="A84" s="4" t="s">
        <v>71</v>
      </c>
      <c r="B84" s="5">
        <v>0</v>
      </c>
      <c r="C84" s="5">
        <v>18518</v>
      </c>
      <c r="D84" s="5">
        <v>84125</v>
      </c>
    </row>
    <row r="85" spans="1:6" x14ac:dyDescent="0.25">
      <c r="A85" s="4" t="s">
        <v>72</v>
      </c>
      <c r="B85" s="5">
        <v>0</v>
      </c>
      <c r="C85" s="5">
        <v>406812</v>
      </c>
      <c r="D85" s="5">
        <v>505492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1248</v>
      </c>
      <c r="D89" s="3" t="s">
        <v>1067</v>
      </c>
      <c r="E89" s="3" t="s">
        <v>1249</v>
      </c>
      <c r="F89" s="3" t="s">
        <v>1068</v>
      </c>
    </row>
    <row r="90" spans="1:6" x14ac:dyDescent="0.25">
      <c r="A90" s="4" t="s">
        <v>510</v>
      </c>
      <c r="B90" s="5">
        <v>0</v>
      </c>
      <c r="C90" s="5">
        <v>18713</v>
      </c>
      <c r="D90" s="5">
        <v>45397</v>
      </c>
      <c r="E90" s="5">
        <v>89622</v>
      </c>
      <c r="F90" s="5">
        <v>183509</v>
      </c>
    </row>
    <row r="91" spans="1:6" x14ac:dyDescent="0.25">
      <c r="A91" s="8" t="s">
        <v>79</v>
      </c>
      <c r="B91" s="9">
        <v>16</v>
      </c>
      <c r="C91" s="9" t="s">
        <v>1250</v>
      </c>
      <c r="D91" s="9" t="s">
        <v>1251</v>
      </c>
      <c r="E91" s="9" t="s">
        <v>1252</v>
      </c>
      <c r="F91" s="9" t="s">
        <v>1253</v>
      </c>
    </row>
    <row r="92" spans="1:6" x14ac:dyDescent="0.25">
      <c r="A92" s="4" t="s">
        <v>82</v>
      </c>
      <c r="B92" s="5">
        <v>0</v>
      </c>
      <c r="C92" s="5" t="s">
        <v>1254</v>
      </c>
      <c r="D92" s="5">
        <v>7190</v>
      </c>
      <c r="E92" s="5">
        <v>5352</v>
      </c>
      <c r="F92" s="5">
        <v>54742</v>
      </c>
    </row>
    <row r="93" spans="1:6" x14ac:dyDescent="0.25">
      <c r="A93" s="8" t="s">
        <v>83</v>
      </c>
      <c r="B93" s="9">
        <v>18</v>
      </c>
      <c r="C93" s="9" t="s">
        <v>1255</v>
      </c>
      <c r="D93" s="9" t="s">
        <v>1256</v>
      </c>
      <c r="E93" s="9" t="s">
        <v>1257</v>
      </c>
      <c r="F93" s="9" t="s">
        <v>1258</v>
      </c>
    </row>
    <row r="94" spans="1:6" x14ac:dyDescent="0.25">
      <c r="A94" s="6" t="s">
        <v>86</v>
      </c>
      <c r="B94" s="7">
        <v>17</v>
      </c>
      <c r="C94" s="7" t="s">
        <v>1259</v>
      </c>
      <c r="D94" s="7" t="s">
        <v>1260</v>
      </c>
      <c r="E94" s="7" t="s">
        <v>1261</v>
      </c>
      <c r="F94" s="7" t="s">
        <v>1262</v>
      </c>
    </row>
    <row r="95" spans="1:6" x14ac:dyDescent="0.25">
      <c r="A95" s="8" t="s">
        <v>90</v>
      </c>
      <c r="B95" s="9">
        <v>0</v>
      </c>
      <c r="C95" s="9">
        <v>470</v>
      </c>
      <c r="D95" s="9">
        <v>1628</v>
      </c>
      <c r="E95" s="9">
        <v>7079</v>
      </c>
      <c r="F95" s="9">
        <v>2282</v>
      </c>
    </row>
    <row r="96" spans="1:6" x14ac:dyDescent="0.25">
      <c r="A96" s="6" t="s">
        <v>91</v>
      </c>
      <c r="B96" s="7">
        <v>0</v>
      </c>
      <c r="C96" s="7" t="s">
        <v>1263</v>
      </c>
      <c r="D96" s="7" t="s">
        <v>1264</v>
      </c>
      <c r="E96" s="7" t="s">
        <v>1265</v>
      </c>
      <c r="F96" s="7" t="s">
        <v>1266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1267</v>
      </c>
      <c r="D98" s="5">
        <v>2388</v>
      </c>
      <c r="E98" s="5" t="s">
        <v>1268</v>
      </c>
      <c r="F98" s="5">
        <v>10184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>
        <v>0</v>
      </c>
      <c r="C100" s="7">
        <v>171</v>
      </c>
      <c r="D100" s="7">
        <v>137</v>
      </c>
      <c r="E100" s="7">
        <v>651</v>
      </c>
      <c r="F100" s="7">
        <v>404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>
        <v>0</v>
      </c>
      <c r="C102" s="7" t="s">
        <v>1269</v>
      </c>
      <c r="D102" s="7" t="s">
        <v>1270</v>
      </c>
      <c r="E102" s="7" t="s">
        <v>1271</v>
      </c>
      <c r="F102" s="7" t="s">
        <v>1272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 t="s">
        <v>150</v>
      </c>
      <c r="D104" s="7" t="s">
        <v>1273</v>
      </c>
      <c r="E104" s="7" t="s">
        <v>150</v>
      </c>
      <c r="F104" s="7" t="s">
        <v>1273</v>
      </c>
    </row>
    <row r="105" spans="1:6" x14ac:dyDescent="0.25">
      <c r="A105" s="8" t="s">
        <v>523</v>
      </c>
      <c r="B105" s="9">
        <v>0</v>
      </c>
      <c r="C105" s="9" t="s">
        <v>1274</v>
      </c>
      <c r="D105" s="9">
        <v>5818</v>
      </c>
      <c r="E105" s="9" t="s">
        <v>1275</v>
      </c>
      <c r="F105" s="9">
        <v>4669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1276</v>
      </c>
      <c r="D110" s="5">
        <v>288</v>
      </c>
      <c r="E110" s="5" t="s">
        <v>1277</v>
      </c>
      <c r="F110" s="5" t="s">
        <v>1278</v>
      </c>
    </row>
    <row r="111" spans="1:6" x14ac:dyDescent="0.25">
      <c r="A111" s="8" t="s">
        <v>530</v>
      </c>
      <c r="B111" s="9">
        <v>0</v>
      </c>
      <c r="C111" s="9">
        <v>0</v>
      </c>
      <c r="D111" s="9">
        <v>3587</v>
      </c>
      <c r="E111" s="9">
        <v>5208</v>
      </c>
      <c r="F111" s="9">
        <v>3037</v>
      </c>
    </row>
    <row r="112" spans="1:6" x14ac:dyDescent="0.25">
      <c r="A112" s="6" t="s">
        <v>531</v>
      </c>
      <c r="B112" s="7">
        <v>0</v>
      </c>
      <c r="C112" s="7" t="s">
        <v>1276</v>
      </c>
      <c r="D112" s="7">
        <v>3875</v>
      </c>
      <c r="E112" s="7" t="s">
        <v>1279</v>
      </c>
      <c r="F112" s="7" t="s">
        <v>1280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1276</v>
      </c>
      <c r="D114" s="5">
        <v>3875</v>
      </c>
      <c r="E114" s="5" t="s">
        <v>1279</v>
      </c>
      <c r="F114" s="5" t="s">
        <v>1280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1281</v>
      </c>
      <c r="D117" s="9">
        <v>6.3E-2</v>
      </c>
      <c r="E117" s="9" t="s">
        <v>1282</v>
      </c>
      <c r="F117" s="9" t="s">
        <v>1283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1281</v>
      </c>
      <c r="D119" s="9">
        <v>6.3E-2</v>
      </c>
      <c r="E119" s="9" t="s">
        <v>1282</v>
      </c>
      <c r="F119" s="9" t="s">
        <v>1283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980</v>
      </c>
      <c r="B134" s="7">
        <v>61450</v>
      </c>
      <c r="C134" s="7">
        <v>0</v>
      </c>
      <c r="D134" s="7">
        <v>0</v>
      </c>
      <c r="E134" s="7">
        <v>0</v>
      </c>
      <c r="F134" s="7">
        <v>2955</v>
      </c>
      <c r="G134" s="7">
        <v>26485</v>
      </c>
      <c r="H134" s="7">
        <v>0</v>
      </c>
      <c r="I134" s="7">
        <v>0</v>
      </c>
      <c r="J134" s="7">
        <v>0</v>
      </c>
      <c r="K134" s="7" t="s">
        <v>967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967</v>
      </c>
      <c r="X134" s="7">
        <v>90039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2955</v>
      </c>
      <c r="G137" s="9">
        <v>26485</v>
      </c>
      <c r="H137" s="9">
        <v>0</v>
      </c>
      <c r="I137" s="9">
        <v>0</v>
      </c>
      <c r="J137" s="9">
        <v>0</v>
      </c>
      <c r="K137" s="9" t="s">
        <v>967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967</v>
      </c>
      <c r="X137" s="9">
        <v>90039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1280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1280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701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701</v>
      </c>
      <c r="X141" s="9">
        <v>701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1280</v>
      </c>
      <c r="H142" s="7">
        <v>0</v>
      </c>
      <c r="I142" s="7">
        <v>0</v>
      </c>
      <c r="J142" s="7">
        <v>0</v>
      </c>
      <c r="K142" s="7">
        <v>701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701</v>
      </c>
      <c r="X142" s="7" t="s">
        <v>1284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81</v>
      </c>
      <c r="G155" s="9" t="s">
        <v>1285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 t="s">
        <v>1286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81</v>
      </c>
      <c r="G156" s="7" t="s">
        <v>1287</v>
      </c>
      <c r="H156" s="7">
        <v>0</v>
      </c>
      <c r="I156" s="7">
        <v>0</v>
      </c>
      <c r="J156" s="7">
        <v>0</v>
      </c>
      <c r="K156" s="7">
        <v>701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701</v>
      </c>
      <c r="X156" s="7" t="s">
        <v>1288</v>
      </c>
    </row>
    <row r="157" spans="1:24" x14ac:dyDescent="0.25">
      <c r="A157" s="8" t="s">
        <v>1100</v>
      </c>
      <c r="B157" s="9">
        <v>61450</v>
      </c>
      <c r="C157" s="9">
        <v>0</v>
      </c>
      <c r="D157" s="9">
        <v>0</v>
      </c>
      <c r="E157" s="9">
        <v>0</v>
      </c>
      <c r="F157" s="9">
        <v>3036</v>
      </c>
      <c r="G157" s="9">
        <v>19789</v>
      </c>
      <c r="H157" s="9">
        <v>0</v>
      </c>
      <c r="I157" s="9">
        <v>0</v>
      </c>
      <c r="J157" s="9">
        <v>0</v>
      </c>
      <c r="K157" s="9" t="s">
        <v>1066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 t="s">
        <v>1066</v>
      </c>
      <c r="X157" s="9">
        <v>84125</v>
      </c>
    </row>
    <row r="158" spans="1:24" x14ac:dyDescent="0.25">
      <c r="A158" s="6" t="s">
        <v>1140</v>
      </c>
      <c r="B158" s="7">
        <v>61450</v>
      </c>
      <c r="C158" s="7">
        <v>0</v>
      </c>
      <c r="D158" s="7">
        <v>0</v>
      </c>
      <c r="E158" s="7">
        <v>0</v>
      </c>
      <c r="F158" s="7">
        <v>3036</v>
      </c>
      <c r="G158" s="7">
        <v>19789</v>
      </c>
      <c r="H158" s="7">
        <v>0</v>
      </c>
      <c r="I158" s="7">
        <v>0</v>
      </c>
      <c r="J158" s="7">
        <v>0</v>
      </c>
      <c r="K158" s="7" t="s">
        <v>1066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 t="s">
        <v>1066</v>
      </c>
      <c r="X158" s="7">
        <v>84125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61450</v>
      </c>
      <c r="C161" s="9">
        <v>0</v>
      </c>
      <c r="D161" s="9">
        <v>0</v>
      </c>
      <c r="E161" s="9">
        <v>0</v>
      </c>
      <c r="F161" s="9">
        <v>3036</v>
      </c>
      <c r="G161" s="9">
        <v>19789</v>
      </c>
      <c r="H161" s="9">
        <v>0</v>
      </c>
      <c r="I161" s="9">
        <v>0</v>
      </c>
      <c r="J161" s="9">
        <v>0</v>
      </c>
      <c r="K161" s="9" t="s">
        <v>1066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 t="s">
        <v>1066</v>
      </c>
      <c r="X161" s="9">
        <v>84125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1279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1279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6241</v>
      </c>
      <c r="J165" s="9">
        <v>0</v>
      </c>
      <c r="K165" s="9">
        <v>150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6391</v>
      </c>
      <c r="X165" s="9">
        <v>6391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1279</v>
      </c>
      <c r="H166" s="7">
        <v>0</v>
      </c>
      <c r="I166" s="7">
        <v>6241</v>
      </c>
      <c r="J166" s="7">
        <v>0</v>
      </c>
      <c r="K166" s="7">
        <v>150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6391</v>
      </c>
      <c r="X166" s="7" t="s">
        <v>1289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 t="s">
        <v>1142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1142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9211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9211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9211</v>
      </c>
      <c r="C180" s="7">
        <v>0</v>
      </c>
      <c r="D180" s="7">
        <v>0</v>
      </c>
      <c r="E180" s="7">
        <v>0</v>
      </c>
      <c r="F180" s="7">
        <v>0</v>
      </c>
      <c r="G180" s="7" t="s">
        <v>1290</v>
      </c>
      <c r="H180" s="7">
        <v>0</v>
      </c>
      <c r="I180" s="7">
        <v>6241</v>
      </c>
      <c r="J180" s="7">
        <v>0</v>
      </c>
      <c r="K180" s="7">
        <v>150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6391</v>
      </c>
      <c r="X180" s="7" t="s">
        <v>1291</v>
      </c>
    </row>
    <row r="181" spans="1:24" x14ac:dyDescent="0.25">
      <c r="A181" s="8" t="s">
        <v>1292</v>
      </c>
      <c r="B181" s="9">
        <v>70661</v>
      </c>
      <c r="C181" s="9">
        <v>0</v>
      </c>
      <c r="D181" s="9">
        <v>0</v>
      </c>
      <c r="E181" s="9">
        <v>0</v>
      </c>
      <c r="F181" s="9">
        <v>3036</v>
      </c>
      <c r="G181" s="9" t="s">
        <v>1247</v>
      </c>
      <c r="H181" s="9">
        <v>0</v>
      </c>
      <c r="I181" s="9">
        <v>6241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6241</v>
      </c>
      <c r="X181" s="9">
        <v>18518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1293</v>
      </c>
      <c r="D185" s="3" t="s">
        <v>1101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90665</v>
      </c>
      <c r="D188" s="7">
        <v>188590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1294</v>
      </c>
      <c r="D194" s="7" t="s">
        <v>1295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1296</v>
      </c>
      <c r="D196" s="7" t="s">
        <v>1297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1298</v>
      </c>
      <c r="D198" s="7" t="s">
        <v>1299</v>
      </c>
    </row>
    <row r="199" spans="1:4" x14ac:dyDescent="0.25">
      <c r="A199" s="8" t="s">
        <v>591</v>
      </c>
      <c r="B199" s="9">
        <v>0</v>
      </c>
      <c r="C199" s="9" t="s">
        <v>1300</v>
      </c>
      <c r="D199" s="9">
        <v>62035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 t="s">
        <v>1301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 t="s">
        <v>1300</v>
      </c>
      <c r="D206" s="5">
        <v>59357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6505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3471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 t="s">
        <v>1193</v>
      </c>
      <c r="D224" s="7" t="s">
        <v>1302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1303</v>
      </c>
      <c r="D229" s="9" t="s">
        <v>1304</v>
      </c>
    </row>
    <row r="230" spans="1:4" x14ac:dyDescent="0.25">
      <c r="A230" s="6" t="s">
        <v>224</v>
      </c>
      <c r="B230" s="7">
        <v>0</v>
      </c>
      <c r="C230" s="7" t="s">
        <v>1305</v>
      </c>
      <c r="D230" s="7" t="s">
        <v>1306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1172</v>
      </c>
      <c r="D234" s="5" t="s">
        <v>1307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10000</v>
      </c>
      <c r="D237" s="9">
        <v>242920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9212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1238</v>
      </c>
      <c r="D244" s="7" t="s">
        <v>1308</v>
      </c>
    </row>
    <row r="245" spans="1:4" x14ac:dyDescent="0.25">
      <c r="A245" s="8" t="s">
        <v>243</v>
      </c>
      <c r="B245" s="9">
        <v>0</v>
      </c>
      <c r="C245" s="9" t="s">
        <v>1309</v>
      </c>
      <c r="D245" s="9" t="s">
        <v>1310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1311</v>
      </c>
      <c r="D250" s="7" t="s">
        <v>1312</v>
      </c>
    </row>
    <row r="251" spans="1:4" x14ac:dyDescent="0.25">
      <c r="A251" s="8" t="s">
        <v>629</v>
      </c>
      <c r="B251" s="9">
        <v>0</v>
      </c>
      <c r="C251" s="9" t="s">
        <v>1142</v>
      </c>
      <c r="D251" s="9" t="s">
        <v>991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1313</v>
      </c>
      <c r="D254" s="5">
        <v>22147</v>
      </c>
    </row>
    <row r="255" spans="1:4" x14ac:dyDescent="0.25">
      <c r="A255" s="8" t="s">
        <v>250</v>
      </c>
      <c r="B255" s="9">
        <v>0</v>
      </c>
      <c r="C255" s="9" t="s">
        <v>1314</v>
      </c>
      <c r="D255" s="9">
        <v>53099</v>
      </c>
    </row>
    <row r="256" spans="1:4" x14ac:dyDescent="0.25">
      <c r="A256" s="6" t="s">
        <v>253</v>
      </c>
      <c r="B256" s="7">
        <v>0</v>
      </c>
      <c r="C256" s="7" t="s">
        <v>1315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1316</v>
      </c>
      <c r="D257" s="9">
        <v>53099</v>
      </c>
    </row>
    <row r="258" spans="1:6" x14ac:dyDescent="0.25">
      <c r="A258" s="6" t="s">
        <v>255</v>
      </c>
      <c r="B258" s="7">
        <v>3</v>
      </c>
      <c r="C258" s="7">
        <v>56407</v>
      </c>
      <c r="D258" s="7">
        <v>3308</v>
      </c>
    </row>
    <row r="259" spans="1:6" x14ac:dyDescent="0.25">
      <c r="A259" s="4" t="s">
        <v>256</v>
      </c>
      <c r="B259" s="5">
        <v>3</v>
      </c>
      <c r="C259" s="5">
        <v>18866</v>
      </c>
      <c r="D259" s="5">
        <v>56407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1248</v>
      </c>
      <c r="D263" s="3" t="s">
        <v>1067</v>
      </c>
      <c r="E263" s="3" t="s">
        <v>1249</v>
      </c>
      <c r="F263" s="3" t="s">
        <v>1068</v>
      </c>
    </row>
    <row r="264" spans="1:6" x14ac:dyDescent="0.25">
      <c r="A264" s="6" t="s">
        <v>258</v>
      </c>
      <c r="B264" s="7">
        <v>0</v>
      </c>
      <c r="C264" s="7" t="s">
        <v>1276</v>
      </c>
      <c r="D264" s="7">
        <v>3875</v>
      </c>
      <c r="E264" s="7" t="s">
        <v>1279</v>
      </c>
      <c r="F264" s="7" t="s">
        <v>1280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6241</v>
      </c>
      <c r="D267" s="9">
        <v>0</v>
      </c>
      <c r="E267" s="9">
        <v>6241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184</v>
      </c>
      <c r="E269" s="9">
        <v>150</v>
      </c>
      <c r="F269" s="9">
        <v>701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6241</v>
      </c>
      <c r="D272" s="7">
        <v>184</v>
      </c>
      <c r="E272" s="7">
        <v>6391</v>
      </c>
      <c r="F272" s="7">
        <v>701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6241</v>
      </c>
      <c r="D303" s="5">
        <v>184</v>
      </c>
      <c r="E303" s="5">
        <v>6391</v>
      </c>
      <c r="F303" s="5">
        <v>701</v>
      </c>
    </row>
    <row r="304" spans="1:6" x14ac:dyDescent="0.25">
      <c r="A304" s="4" t="s">
        <v>671</v>
      </c>
      <c r="B304" s="5">
        <v>0</v>
      </c>
      <c r="C304" s="5" t="s">
        <v>1317</v>
      </c>
      <c r="D304" s="5">
        <v>4059</v>
      </c>
      <c r="E304" s="5" t="s">
        <v>1289</v>
      </c>
      <c r="F304" s="5" t="s">
        <v>1284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44242.707986111098</v>
      </c>
    </row>
    <row r="311" spans="1:2" x14ac:dyDescent="0.25">
      <c r="A311" s="8" t="s">
        <v>1318</v>
      </c>
      <c r="B311" s="10">
        <v>44242.707152777803</v>
      </c>
    </row>
    <row r="312" spans="1:2" x14ac:dyDescent="0.25">
      <c r="A312" s="4" t="s">
        <v>278</v>
      </c>
      <c r="B312" s="5"/>
    </row>
    <row r="313" spans="1:2" x14ac:dyDescent="0.25">
      <c r="A313" s="8" t="s">
        <v>1318</v>
      </c>
      <c r="B313" s="10">
        <v>44242.707256944399</v>
      </c>
    </row>
    <row r="314" spans="1:2" x14ac:dyDescent="0.25">
      <c r="A314" s="6" t="s">
        <v>276</v>
      </c>
      <c r="B314" s="11">
        <v>44242.708113425899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44242.7081944444</v>
      </c>
    </row>
    <row r="317" spans="1:2" x14ac:dyDescent="0.25">
      <c r="A317" s="8" t="s">
        <v>1318</v>
      </c>
      <c r="B317" s="10">
        <v>44242.707349536999</v>
      </c>
    </row>
    <row r="318" spans="1:2" x14ac:dyDescent="0.25">
      <c r="A318" s="4" t="s">
        <v>280</v>
      </c>
      <c r="B318" s="5"/>
    </row>
    <row r="319" spans="1:2" x14ac:dyDescent="0.25">
      <c r="A319" s="8" t="s">
        <v>1318</v>
      </c>
      <c r="B319" s="10">
        <v>44242.707442129598</v>
      </c>
    </row>
    <row r="320" spans="1:2" x14ac:dyDescent="0.25">
      <c r="A320" s="6" t="s">
        <v>276</v>
      </c>
      <c r="B320" s="11">
        <v>44242.708287037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FB89-D760-4391-AF12-DAEEA59ECBC0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5.5703125" customWidth="1"/>
    <col min="5" max="6" width="46.8554687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1319</v>
      </c>
    </row>
    <row r="3" spans="1:4" x14ac:dyDescent="0.25">
      <c r="A3" t="s">
        <v>1320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1321</v>
      </c>
      <c r="D9" s="3" t="s">
        <v>1246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 t="s">
        <v>1322</v>
      </c>
      <c r="C12" s="7">
        <v>13086</v>
      </c>
      <c r="D12" s="7">
        <v>18826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13823</v>
      </c>
      <c r="D14" s="7">
        <v>18660</v>
      </c>
    </row>
    <row r="15" spans="1:4" x14ac:dyDescent="0.25">
      <c r="A15" s="8" t="s">
        <v>31</v>
      </c>
      <c r="B15" s="9" t="s">
        <v>1323</v>
      </c>
      <c r="C15" s="9">
        <v>8081</v>
      </c>
      <c r="D15" s="9">
        <v>12629</v>
      </c>
    </row>
    <row r="16" spans="1:4" x14ac:dyDescent="0.25">
      <c r="A16" s="6" t="s">
        <v>18</v>
      </c>
      <c r="B16" s="7" t="s">
        <v>1324</v>
      </c>
      <c r="C16" s="7">
        <v>0</v>
      </c>
      <c r="D16" s="7">
        <v>1</v>
      </c>
    </row>
    <row r="17" spans="1:4" x14ac:dyDescent="0.25">
      <c r="A17" s="8" t="s">
        <v>32</v>
      </c>
      <c r="B17" s="9" t="s">
        <v>1325</v>
      </c>
      <c r="C17" s="9">
        <v>5742</v>
      </c>
      <c r="D17" s="9">
        <v>6030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 t="s">
        <v>1326</v>
      </c>
      <c r="C19" s="9">
        <v>2118</v>
      </c>
      <c r="D19" s="9">
        <v>2211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 t="s">
        <v>1327</v>
      </c>
      <c r="C22" s="7">
        <v>5028</v>
      </c>
      <c r="D22" s="7">
        <v>2110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34055</v>
      </c>
      <c r="D24" s="7">
        <v>41807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34055</v>
      </c>
      <c r="D26" s="5">
        <v>41807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 t="s">
        <v>1328</v>
      </c>
      <c r="C29" s="9">
        <v>12806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21124</v>
      </c>
      <c r="D30" s="7">
        <v>20105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 t="s">
        <v>1324</v>
      </c>
      <c r="C32" s="7">
        <v>15683</v>
      </c>
      <c r="D32" s="7">
        <v>15306</v>
      </c>
    </row>
    <row r="33" spans="1:4" x14ac:dyDescent="0.25">
      <c r="A33" s="8" t="s">
        <v>32</v>
      </c>
      <c r="B33" s="9" t="s">
        <v>1325</v>
      </c>
      <c r="C33" s="9">
        <v>5441</v>
      </c>
      <c r="D33" s="9">
        <v>4799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 t="s">
        <v>1329</v>
      </c>
      <c r="C38" s="7">
        <v>186036</v>
      </c>
      <c r="D38" s="7">
        <v>191826</v>
      </c>
    </row>
    <row r="39" spans="1:4" x14ac:dyDescent="0.25">
      <c r="A39" s="8" t="s">
        <v>497</v>
      </c>
      <c r="B39" s="9" t="s">
        <v>1330</v>
      </c>
      <c r="C39" s="9">
        <v>3212</v>
      </c>
      <c r="D39" s="9">
        <v>3044</v>
      </c>
    </row>
    <row r="40" spans="1:4" x14ac:dyDescent="0.25">
      <c r="A40" s="6" t="s">
        <v>498</v>
      </c>
      <c r="B40" s="7" t="s">
        <v>1331</v>
      </c>
      <c r="C40" s="7">
        <v>11867</v>
      </c>
      <c r="D40" s="7">
        <v>3882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1332</v>
      </c>
      <c r="C43" s="9">
        <v>133172</v>
      </c>
      <c r="D43" s="9">
        <v>135988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368217</v>
      </c>
      <c r="D45" s="5">
        <v>367651</v>
      </c>
    </row>
    <row r="46" spans="1:4" x14ac:dyDescent="0.25">
      <c r="A46" s="4" t="s">
        <v>39</v>
      </c>
      <c r="B46" s="5">
        <v>0</v>
      </c>
      <c r="C46" s="5">
        <v>402272</v>
      </c>
      <c r="D46" s="5">
        <v>409458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 t="s">
        <v>1333</v>
      </c>
      <c r="C49" s="9">
        <v>6114</v>
      </c>
      <c r="D49" s="9">
        <v>4067</v>
      </c>
    </row>
    <row r="50" spans="1:4" x14ac:dyDescent="0.25">
      <c r="A50" s="6" t="s">
        <v>501</v>
      </c>
      <c r="B50" s="7">
        <v>0</v>
      </c>
      <c r="C50" s="7">
        <v>23121</v>
      </c>
      <c r="D50" s="7">
        <v>22544</v>
      </c>
    </row>
    <row r="51" spans="1:4" x14ac:dyDescent="0.25">
      <c r="A51" s="8" t="s">
        <v>44</v>
      </c>
      <c r="B51" s="9" t="s">
        <v>1334</v>
      </c>
      <c r="C51" s="9">
        <v>13825</v>
      </c>
      <c r="D51" s="9">
        <v>14144</v>
      </c>
    </row>
    <row r="52" spans="1:4" x14ac:dyDescent="0.25">
      <c r="A52" s="6" t="s">
        <v>46</v>
      </c>
      <c r="B52" s="7" t="s">
        <v>1324</v>
      </c>
      <c r="C52" s="7">
        <v>4</v>
      </c>
      <c r="D52" s="7">
        <v>26</v>
      </c>
    </row>
    <row r="53" spans="1:4" x14ac:dyDescent="0.25">
      <c r="A53" s="8" t="s">
        <v>45</v>
      </c>
      <c r="B53" s="9" t="s">
        <v>1335</v>
      </c>
      <c r="C53" s="9">
        <v>5958</v>
      </c>
      <c r="D53" s="9">
        <v>5104</v>
      </c>
    </row>
    <row r="54" spans="1:4" x14ac:dyDescent="0.25">
      <c r="A54" s="6" t="s">
        <v>56</v>
      </c>
      <c r="B54" s="7" t="s">
        <v>1336</v>
      </c>
      <c r="C54" s="7">
        <v>3334</v>
      </c>
      <c r="D54" s="7">
        <v>3270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1337</v>
      </c>
      <c r="C58" s="7">
        <v>9229</v>
      </c>
      <c r="D58" s="7">
        <v>8710</v>
      </c>
    </row>
    <row r="59" spans="1:4" x14ac:dyDescent="0.25">
      <c r="A59" s="8" t="s">
        <v>504</v>
      </c>
      <c r="B59" s="9">
        <v>0</v>
      </c>
      <c r="C59" s="9">
        <v>38464</v>
      </c>
      <c r="D59" s="9">
        <v>35321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38464</v>
      </c>
      <c r="D61" s="5">
        <v>35321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 t="s">
        <v>1333</v>
      </c>
      <c r="C63" s="9">
        <v>207285</v>
      </c>
      <c r="D63" s="9">
        <v>201940</v>
      </c>
    </row>
    <row r="64" spans="1:4" x14ac:dyDescent="0.25">
      <c r="A64" s="6" t="s">
        <v>501</v>
      </c>
      <c r="B64" s="7">
        <v>0</v>
      </c>
      <c r="C64" s="7">
        <v>2463</v>
      </c>
      <c r="D64" s="7">
        <v>2554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 t="s">
        <v>1324</v>
      </c>
      <c r="C66" s="7">
        <v>2005</v>
      </c>
      <c r="D66" s="7">
        <v>2005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 t="s">
        <v>1338</v>
      </c>
      <c r="C68" s="7">
        <v>458</v>
      </c>
      <c r="D68" s="7">
        <v>549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0</v>
      </c>
      <c r="C71" s="9">
        <v>0</v>
      </c>
      <c r="D71" s="9">
        <v>0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1337</v>
      </c>
      <c r="C73" s="9">
        <v>149516</v>
      </c>
      <c r="D73" s="9">
        <v>146016</v>
      </c>
    </row>
    <row r="74" spans="1:4" x14ac:dyDescent="0.25">
      <c r="A74" s="4" t="s">
        <v>59</v>
      </c>
      <c r="B74" s="5">
        <v>0</v>
      </c>
      <c r="C74" s="5">
        <v>359264</v>
      </c>
      <c r="D74" s="5">
        <v>350510</v>
      </c>
    </row>
    <row r="75" spans="1:4" x14ac:dyDescent="0.25">
      <c r="A75" s="4" t="s">
        <v>60</v>
      </c>
      <c r="B75" s="5">
        <v>0</v>
      </c>
      <c r="C75" s="5">
        <v>397728</v>
      </c>
      <c r="D75" s="5">
        <v>385831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15</v>
      </c>
      <c r="C77" s="9">
        <v>70662</v>
      </c>
      <c r="D77" s="9">
        <v>70662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1339</v>
      </c>
      <c r="D82" s="7" t="s">
        <v>1340</v>
      </c>
    </row>
    <row r="83" spans="1:6" x14ac:dyDescent="0.25">
      <c r="A83" s="8" t="s">
        <v>68</v>
      </c>
      <c r="B83" s="9">
        <v>0</v>
      </c>
      <c r="C83" s="9">
        <v>6048</v>
      </c>
      <c r="D83" s="9">
        <v>6048</v>
      </c>
    </row>
    <row r="84" spans="1:6" x14ac:dyDescent="0.25">
      <c r="A84" s="4" t="s">
        <v>71</v>
      </c>
      <c r="B84" s="5">
        <v>0</v>
      </c>
      <c r="C84" s="5">
        <v>4544</v>
      </c>
      <c r="D84" s="5">
        <v>23627</v>
      </c>
    </row>
    <row r="85" spans="1:6" x14ac:dyDescent="0.25">
      <c r="A85" s="4" t="s">
        <v>72</v>
      </c>
      <c r="B85" s="5">
        <v>0</v>
      </c>
      <c r="C85" s="5">
        <v>402272</v>
      </c>
      <c r="D85" s="5">
        <v>409458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1341</v>
      </c>
      <c r="D89" s="3" t="s">
        <v>1128</v>
      </c>
      <c r="E89" s="3" t="s">
        <v>1342</v>
      </c>
      <c r="F89" s="3" t="s">
        <v>1129</v>
      </c>
    </row>
    <row r="90" spans="1:6" x14ac:dyDescent="0.25">
      <c r="A90" s="4" t="s">
        <v>510</v>
      </c>
      <c r="B90" s="5" t="s">
        <v>1343</v>
      </c>
      <c r="C90" s="5">
        <v>15407</v>
      </c>
      <c r="D90" s="5">
        <v>33728</v>
      </c>
      <c r="E90" s="5">
        <v>15407</v>
      </c>
      <c r="F90" s="5">
        <v>33728</v>
      </c>
    </row>
    <row r="91" spans="1:6" x14ac:dyDescent="0.25">
      <c r="A91" s="8" t="s">
        <v>79</v>
      </c>
      <c r="B91" s="9" t="s">
        <v>1344</v>
      </c>
      <c r="C91" s="9" t="s">
        <v>1345</v>
      </c>
      <c r="D91" s="9" t="s">
        <v>1346</v>
      </c>
      <c r="E91" s="9" t="s">
        <v>1345</v>
      </c>
      <c r="F91" s="9" t="s">
        <v>1346</v>
      </c>
    </row>
    <row r="92" spans="1:6" x14ac:dyDescent="0.25">
      <c r="A92" s="4" t="s">
        <v>82</v>
      </c>
      <c r="B92" s="5">
        <v>0</v>
      </c>
      <c r="C92" s="5" t="s">
        <v>1347</v>
      </c>
      <c r="D92" s="5">
        <v>4297</v>
      </c>
      <c r="E92" s="5" t="s">
        <v>1347</v>
      </c>
      <c r="F92" s="5">
        <v>4297</v>
      </c>
    </row>
    <row r="93" spans="1:6" x14ac:dyDescent="0.25">
      <c r="A93" s="8" t="s">
        <v>83</v>
      </c>
      <c r="B93" s="9" t="s">
        <v>1348</v>
      </c>
      <c r="C93" s="9" t="s">
        <v>1349</v>
      </c>
      <c r="D93" s="9" t="s">
        <v>1350</v>
      </c>
      <c r="E93" s="9" t="s">
        <v>1349</v>
      </c>
      <c r="F93" s="9" t="s">
        <v>1350</v>
      </c>
    </row>
    <row r="94" spans="1:6" x14ac:dyDescent="0.25">
      <c r="A94" s="6" t="s">
        <v>86</v>
      </c>
      <c r="B94" s="7" t="s">
        <v>1348</v>
      </c>
      <c r="C94" s="7" t="s">
        <v>1351</v>
      </c>
      <c r="D94" s="7" t="s">
        <v>1352</v>
      </c>
      <c r="E94" s="7" t="s">
        <v>1351</v>
      </c>
      <c r="F94" s="7" t="s">
        <v>1352</v>
      </c>
    </row>
    <row r="95" spans="1:6" x14ac:dyDescent="0.25">
      <c r="A95" s="8" t="s">
        <v>90</v>
      </c>
      <c r="B95" s="9" t="s">
        <v>1353</v>
      </c>
      <c r="C95" s="9">
        <v>234</v>
      </c>
      <c r="D95" s="9">
        <v>1266</v>
      </c>
      <c r="E95" s="9">
        <v>234</v>
      </c>
      <c r="F95" s="9">
        <v>1266</v>
      </c>
    </row>
    <row r="96" spans="1:6" x14ac:dyDescent="0.25">
      <c r="A96" s="6" t="s">
        <v>91</v>
      </c>
      <c r="B96" s="7" t="s">
        <v>1353</v>
      </c>
      <c r="C96" s="7" t="s">
        <v>1354</v>
      </c>
      <c r="D96" s="7" t="s">
        <v>1133</v>
      </c>
      <c r="E96" s="7" t="s">
        <v>1354</v>
      </c>
      <c r="F96" s="7" t="s">
        <v>1133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1355</v>
      </c>
      <c r="D98" s="5" t="s">
        <v>1134</v>
      </c>
      <c r="E98" s="5" t="s">
        <v>1355</v>
      </c>
      <c r="F98" s="5" t="s">
        <v>1134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 t="s">
        <v>1356</v>
      </c>
      <c r="C100" s="7">
        <v>15</v>
      </c>
      <c r="D100" s="7">
        <v>179</v>
      </c>
      <c r="E100" s="7">
        <v>15</v>
      </c>
      <c r="F100" s="7">
        <v>179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 t="s">
        <v>1356</v>
      </c>
      <c r="C102" s="7" t="s">
        <v>1357</v>
      </c>
      <c r="D102" s="7" t="s">
        <v>1135</v>
      </c>
      <c r="E102" s="7" t="s">
        <v>1357</v>
      </c>
      <c r="F102" s="7" t="s">
        <v>1135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 t="s">
        <v>1358</v>
      </c>
      <c r="C105" s="9" t="s">
        <v>1359</v>
      </c>
      <c r="D105" s="9" t="s">
        <v>1136</v>
      </c>
      <c r="E105" s="9" t="s">
        <v>1359</v>
      </c>
      <c r="F105" s="9" t="s">
        <v>1136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1360</v>
      </c>
      <c r="D110" s="5" t="s">
        <v>1137</v>
      </c>
      <c r="E110" s="5" t="s">
        <v>1360</v>
      </c>
      <c r="F110" s="5" t="s">
        <v>1137</v>
      </c>
    </row>
    <row r="111" spans="1:6" x14ac:dyDescent="0.25">
      <c r="A111" s="8" t="s">
        <v>530</v>
      </c>
      <c r="B111" s="9" t="s">
        <v>1361</v>
      </c>
      <c r="C111" s="9">
        <v>7985</v>
      </c>
      <c r="D111" s="9">
        <v>861</v>
      </c>
      <c r="E111" s="9">
        <v>7985</v>
      </c>
      <c r="F111" s="9">
        <v>861</v>
      </c>
    </row>
    <row r="112" spans="1:6" x14ac:dyDescent="0.25">
      <c r="A112" s="6" t="s">
        <v>531</v>
      </c>
      <c r="B112" s="7">
        <v>0</v>
      </c>
      <c r="C112" s="7" t="s">
        <v>1362</v>
      </c>
      <c r="D112" s="7" t="s">
        <v>1138</v>
      </c>
      <c r="E112" s="7" t="s">
        <v>1362</v>
      </c>
      <c r="F112" s="7" t="s">
        <v>1138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1362</v>
      </c>
      <c r="D114" s="5" t="s">
        <v>1138</v>
      </c>
      <c r="E114" s="5" t="s">
        <v>1362</v>
      </c>
      <c r="F114" s="5" t="s">
        <v>1138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1363</v>
      </c>
      <c r="D117" s="9" t="s">
        <v>1364</v>
      </c>
      <c r="E117" s="9" t="s">
        <v>1363</v>
      </c>
      <c r="F117" s="9" t="s">
        <v>1364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1363</v>
      </c>
      <c r="D119" s="9" t="s">
        <v>1364</v>
      </c>
      <c r="E119" s="9" t="s">
        <v>1363</v>
      </c>
      <c r="F119" s="9" t="s">
        <v>1364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1140</v>
      </c>
      <c r="B134" s="7">
        <v>61450</v>
      </c>
      <c r="C134" s="7">
        <v>0</v>
      </c>
      <c r="D134" s="7">
        <v>0</v>
      </c>
      <c r="E134" s="7">
        <v>0</v>
      </c>
      <c r="F134" s="7">
        <v>3036</v>
      </c>
      <c r="G134" s="7">
        <v>19789</v>
      </c>
      <c r="H134" s="7">
        <v>0</v>
      </c>
      <c r="I134" s="7">
        <v>0</v>
      </c>
      <c r="J134" s="7">
        <v>0</v>
      </c>
      <c r="K134" s="7" t="s">
        <v>1066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1066</v>
      </c>
      <c r="X134" s="7">
        <v>84125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3036</v>
      </c>
      <c r="G137" s="9">
        <v>19789</v>
      </c>
      <c r="H137" s="9">
        <v>0</v>
      </c>
      <c r="I137" s="9">
        <v>0</v>
      </c>
      <c r="J137" s="9">
        <v>0</v>
      </c>
      <c r="K137" s="9" t="s">
        <v>1066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1066</v>
      </c>
      <c r="X137" s="9">
        <v>84125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1138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1138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150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150</v>
      </c>
      <c r="X141" s="9">
        <v>150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1138</v>
      </c>
      <c r="H142" s="7">
        <v>0</v>
      </c>
      <c r="I142" s="7">
        <v>0</v>
      </c>
      <c r="J142" s="7">
        <v>0</v>
      </c>
      <c r="K142" s="7">
        <v>150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150</v>
      </c>
      <c r="X142" s="7" t="s">
        <v>1141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1142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1142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1143</v>
      </c>
      <c r="H156" s="7">
        <v>0</v>
      </c>
      <c r="I156" s="7">
        <v>0</v>
      </c>
      <c r="J156" s="7">
        <v>0</v>
      </c>
      <c r="K156" s="7">
        <v>150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150</v>
      </c>
      <c r="X156" s="7" t="s">
        <v>1144</v>
      </c>
    </row>
    <row r="157" spans="1:24" x14ac:dyDescent="0.25">
      <c r="A157" s="8" t="s">
        <v>1145</v>
      </c>
      <c r="B157" s="9">
        <v>61450</v>
      </c>
      <c r="C157" s="9">
        <v>0</v>
      </c>
      <c r="D157" s="9">
        <v>0</v>
      </c>
      <c r="E157" s="9">
        <v>0</v>
      </c>
      <c r="F157" s="9">
        <v>3036</v>
      </c>
      <c r="G157" s="9" t="s">
        <v>1127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53073</v>
      </c>
    </row>
    <row r="158" spans="1:24" x14ac:dyDescent="0.25">
      <c r="A158" s="6" t="s">
        <v>1365</v>
      </c>
      <c r="B158" s="7">
        <v>70662</v>
      </c>
      <c r="C158" s="7">
        <v>0</v>
      </c>
      <c r="D158" s="7">
        <v>0</v>
      </c>
      <c r="E158" s="7">
        <v>0</v>
      </c>
      <c r="F158" s="7">
        <v>3036</v>
      </c>
      <c r="G158" s="7" t="s">
        <v>1340</v>
      </c>
      <c r="H158" s="7">
        <v>0</v>
      </c>
      <c r="I158" s="7">
        <v>6048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6048</v>
      </c>
      <c r="X158" s="7">
        <v>23627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70662</v>
      </c>
      <c r="C161" s="9">
        <v>0</v>
      </c>
      <c r="D161" s="9">
        <v>0</v>
      </c>
      <c r="E161" s="9">
        <v>0</v>
      </c>
      <c r="F161" s="9">
        <v>3036</v>
      </c>
      <c r="G161" s="9" t="s">
        <v>1340</v>
      </c>
      <c r="H161" s="9">
        <v>0</v>
      </c>
      <c r="I161" s="9">
        <v>6048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6048</v>
      </c>
      <c r="X161" s="9">
        <v>23627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1362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1362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1362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 t="s">
        <v>1362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 t="s">
        <v>1362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 t="s">
        <v>1362</v>
      </c>
    </row>
    <row r="181" spans="1:24" x14ac:dyDescent="0.25">
      <c r="A181" s="8" t="s">
        <v>1366</v>
      </c>
      <c r="B181" s="9">
        <v>70662</v>
      </c>
      <c r="C181" s="9">
        <v>0</v>
      </c>
      <c r="D181" s="9">
        <v>0</v>
      </c>
      <c r="E181" s="9">
        <v>0</v>
      </c>
      <c r="F181" s="9">
        <v>3036</v>
      </c>
      <c r="G181" s="9" t="s">
        <v>1339</v>
      </c>
      <c r="H181" s="9">
        <v>0</v>
      </c>
      <c r="I181" s="9">
        <v>6048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6048</v>
      </c>
      <c r="X181" s="9">
        <v>4544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1367</v>
      </c>
      <c r="D185" s="3" t="s">
        <v>1146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19774</v>
      </c>
      <c r="D188" s="7">
        <v>39101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1368</v>
      </c>
      <c r="D194" s="7" t="s">
        <v>1147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1369</v>
      </c>
      <c r="D196" s="7" t="s">
        <v>1148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1370</v>
      </c>
      <c r="D198" s="7" t="s">
        <v>1149</v>
      </c>
    </row>
    <row r="199" spans="1:4" x14ac:dyDescent="0.25">
      <c r="A199" s="8" t="s">
        <v>591</v>
      </c>
      <c r="B199" s="9">
        <v>0</v>
      </c>
      <c r="C199" s="9" t="s">
        <v>787</v>
      </c>
      <c r="D199" s="9" t="s">
        <v>1150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 t="s">
        <v>1371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 t="s">
        <v>1372</v>
      </c>
      <c r="D206" s="5" t="s">
        <v>1150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 t="s">
        <v>1373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 t="s">
        <v>1373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 t="s">
        <v>1374</v>
      </c>
      <c r="C224" s="7">
        <v>0</v>
      </c>
      <c r="D224" s="7" t="s">
        <v>1151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 t="s">
        <v>1375</v>
      </c>
      <c r="C229" s="9" t="s">
        <v>1376</v>
      </c>
      <c r="D229" s="9" t="s">
        <v>1152</v>
      </c>
    </row>
    <row r="230" spans="1:4" x14ac:dyDescent="0.25">
      <c r="A230" s="6" t="s">
        <v>224</v>
      </c>
      <c r="B230" s="7" t="s">
        <v>1377</v>
      </c>
      <c r="C230" s="7" t="s">
        <v>1378</v>
      </c>
      <c r="D230" s="7" t="s">
        <v>1153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1379</v>
      </c>
      <c r="D234" s="5" t="s">
        <v>1154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0</v>
      </c>
      <c r="D237" s="9">
        <v>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26.5</v>
      </c>
      <c r="C244" s="7" t="s">
        <v>1380</v>
      </c>
      <c r="D244" s="7" t="s">
        <v>1155</v>
      </c>
    </row>
    <row r="245" spans="1:4" x14ac:dyDescent="0.25">
      <c r="A245" s="8" t="s">
        <v>243</v>
      </c>
      <c r="B245" s="9" t="s">
        <v>1126</v>
      </c>
      <c r="C245" s="9" t="s">
        <v>1381</v>
      </c>
      <c r="D245" s="9" t="s">
        <v>1156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26.5</v>
      </c>
      <c r="C250" s="7" t="s">
        <v>1382</v>
      </c>
      <c r="D250" s="7" t="s">
        <v>1157</v>
      </c>
    </row>
    <row r="251" spans="1:4" x14ac:dyDescent="0.25">
      <c r="A251" s="8" t="s">
        <v>629</v>
      </c>
      <c r="B251" s="9" t="s">
        <v>1383</v>
      </c>
      <c r="C251" s="9">
        <v>0</v>
      </c>
      <c r="D251" s="9" t="s">
        <v>1142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1384</v>
      </c>
      <c r="D254" s="5" t="s">
        <v>1158</v>
      </c>
    </row>
    <row r="255" spans="1:4" x14ac:dyDescent="0.25">
      <c r="A255" s="8" t="s">
        <v>250</v>
      </c>
      <c r="B255" s="9">
        <v>0</v>
      </c>
      <c r="C255" s="9" t="s">
        <v>1385</v>
      </c>
      <c r="D255" s="9" t="s">
        <v>1159</v>
      </c>
    </row>
    <row r="256" spans="1:4" x14ac:dyDescent="0.25">
      <c r="A256" s="6" t="s">
        <v>253</v>
      </c>
      <c r="B256" s="7">
        <v>0</v>
      </c>
      <c r="C256" s="7">
        <v>5193</v>
      </c>
      <c r="D256" s="7">
        <v>0</v>
      </c>
    </row>
    <row r="257" spans="1:6" x14ac:dyDescent="0.25">
      <c r="A257" s="8" t="s">
        <v>254</v>
      </c>
      <c r="B257" s="9">
        <v>0</v>
      </c>
      <c r="C257" s="9" t="s">
        <v>1386</v>
      </c>
      <c r="D257" s="9" t="s">
        <v>1159</v>
      </c>
    </row>
    <row r="258" spans="1:6" x14ac:dyDescent="0.25">
      <c r="A258" s="6" t="s">
        <v>255</v>
      </c>
      <c r="B258" s="7" t="s">
        <v>1322</v>
      </c>
      <c r="C258" s="7">
        <v>18826</v>
      </c>
      <c r="D258" s="7">
        <v>56407</v>
      </c>
    </row>
    <row r="259" spans="1:6" x14ac:dyDescent="0.25">
      <c r="A259" s="4" t="s">
        <v>256</v>
      </c>
      <c r="B259" s="5" t="s">
        <v>1322</v>
      </c>
      <c r="C259" s="5">
        <v>13086</v>
      </c>
      <c r="D259" s="5">
        <v>26243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1341</v>
      </c>
      <c r="D263" s="3" t="s">
        <v>1128</v>
      </c>
      <c r="E263" s="3" t="s">
        <v>1342</v>
      </c>
      <c r="F263" s="3" t="s">
        <v>1129</v>
      </c>
    </row>
    <row r="264" spans="1:6" x14ac:dyDescent="0.25">
      <c r="A264" s="6" t="s">
        <v>258</v>
      </c>
      <c r="B264" s="7">
        <v>0</v>
      </c>
      <c r="C264" s="7" t="s">
        <v>1362</v>
      </c>
      <c r="D264" s="7" t="s">
        <v>1138</v>
      </c>
      <c r="E264" s="7" t="s">
        <v>1362</v>
      </c>
      <c r="F264" s="7" t="s">
        <v>1138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25</v>
      </c>
      <c r="C269" s="9">
        <v>0</v>
      </c>
      <c r="D269" s="9">
        <v>150</v>
      </c>
      <c r="E269" s="9">
        <v>0</v>
      </c>
      <c r="F269" s="9">
        <v>150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0</v>
      </c>
      <c r="D272" s="7">
        <v>150</v>
      </c>
      <c r="E272" s="7">
        <v>0</v>
      </c>
      <c r="F272" s="7">
        <v>150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0</v>
      </c>
      <c r="D303" s="5">
        <v>150</v>
      </c>
      <c r="E303" s="5">
        <v>0</v>
      </c>
      <c r="F303" s="5">
        <v>150</v>
      </c>
    </row>
    <row r="304" spans="1:6" x14ac:dyDescent="0.25">
      <c r="A304" s="4" t="s">
        <v>671</v>
      </c>
      <c r="B304" s="5">
        <v>0</v>
      </c>
      <c r="C304" s="5" t="s">
        <v>1362</v>
      </c>
      <c r="D304" s="5" t="s">
        <v>1141</v>
      </c>
      <c r="E304" s="5" t="s">
        <v>1362</v>
      </c>
      <c r="F304" s="5" t="s">
        <v>1141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44316.518437500003</v>
      </c>
    </row>
    <row r="311" spans="1:2" x14ac:dyDescent="0.25">
      <c r="A311" s="8" t="s">
        <v>1387</v>
      </c>
      <c r="B311" s="10">
        <v>44316.517465277801</v>
      </c>
    </row>
    <row r="312" spans="1:2" x14ac:dyDescent="0.25">
      <c r="A312" s="4" t="s">
        <v>278</v>
      </c>
      <c r="B312" s="5"/>
    </row>
    <row r="313" spans="1:2" x14ac:dyDescent="0.25">
      <c r="A313" s="8" t="s">
        <v>1387</v>
      </c>
      <c r="B313" s="10">
        <v>44316.517569444397</v>
      </c>
    </row>
    <row r="314" spans="1:2" x14ac:dyDescent="0.25">
      <c r="A314" s="6" t="s">
        <v>276</v>
      </c>
      <c r="B314" s="11">
        <v>44316.518564814804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44316.518645833297</v>
      </c>
    </row>
    <row r="317" spans="1:2" x14ac:dyDescent="0.25">
      <c r="A317" s="8" t="s">
        <v>1387</v>
      </c>
      <c r="B317" s="10">
        <v>44316.517662036997</v>
      </c>
    </row>
    <row r="318" spans="1:2" x14ac:dyDescent="0.25">
      <c r="A318" s="4" t="s">
        <v>280</v>
      </c>
      <c r="B318" s="5"/>
    </row>
    <row r="319" spans="1:2" x14ac:dyDescent="0.25">
      <c r="A319" s="8" t="s">
        <v>1387</v>
      </c>
      <c r="B319" s="10">
        <v>44316.517881944397</v>
      </c>
    </row>
    <row r="320" spans="1:2" x14ac:dyDescent="0.25">
      <c r="A320" s="6" t="s">
        <v>276</v>
      </c>
      <c r="B320" s="11">
        <v>44316.518750000003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2CC3-8D8F-4CF0-B7D7-DAE2A01F81BB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5.140625" customWidth="1"/>
    <col min="3" max="4" width="43.7109375" customWidth="1"/>
    <col min="5" max="6" width="46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1388</v>
      </c>
    </row>
    <row r="3" spans="1:4" x14ac:dyDescent="0.25">
      <c r="A3" t="s">
        <v>1320</v>
      </c>
    </row>
    <row r="4" spans="1:4" x14ac:dyDescent="0.25">
      <c r="A4" t="s">
        <v>282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1389</v>
      </c>
      <c r="D9" s="3" t="s">
        <v>1246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 t="s">
        <v>1322</v>
      </c>
      <c r="C12" s="7">
        <v>10261</v>
      </c>
      <c r="D12" s="7">
        <v>18826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11753</v>
      </c>
      <c r="D14" s="7">
        <v>18660</v>
      </c>
    </row>
    <row r="15" spans="1:4" x14ac:dyDescent="0.25">
      <c r="A15" s="8" t="s">
        <v>31</v>
      </c>
      <c r="B15" s="9" t="s">
        <v>1323</v>
      </c>
      <c r="C15" s="9">
        <v>7647</v>
      </c>
      <c r="D15" s="9">
        <v>12629</v>
      </c>
    </row>
    <row r="16" spans="1:4" x14ac:dyDescent="0.25">
      <c r="A16" s="6" t="s">
        <v>18</v>
      </c>
      <c r="B16" s="7" t="s">
        <v>1324</v>
      </c>
      <c r="C16" s="7">
        <v>1</v>
      </c>
      <c r="D16" s="7">
        <v>1</v>
      </c>
    </row>
    <row r="17" spans="1:4" x14ac:dyDescent="0.25">
      <c r="A17" s="8" t="s">
        <v>32</v>
      </c>
      <c r="B17" s="9" t="s">
        <v>1325</v>
      </c>
      <c r="C17" s="9">
        <v>4105</v>
      </c>
      <c r="D17" s="9">
        <v>6030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 t="s">
        <v>1326</v>
      </c>
      <c r="C19" s="9">
        <v>1989</v>
      </c>
      <c r="D19" s="9">
        <v>2211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 t="s">
        <v>1327</v>
      </c>
      <c r="C22" s="7">
        <v>5700</v>
      </c>
      <c r="D22" s="7">
        <v>2110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29703</v>
      </c>
      <c r="D24" s="7">
        <v>41807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29703</v>
      </c>
      <c r="D26" s="5">
        <v>41807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 t="s">
        <v>1328</v>
      </c>
      <c r="C29" s="9">
        <v>26443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8393</v>
      </c>
      <c r="D30" s="7">
        <v>20105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 t="s">
        <v>1324</v>
      </c>
      <c r="C32" s="7">
        <v>2822</v>
      </c>
      <c r="D32" s="7">
        <v>15306</v>
      </c>
    </row>
    <row r="33" spans="1:4" x14ac:dyDescent="0.25">
      <c r="A33" s="8" t="s">
        <v>32</v>
      </c>
      <c r="B33" s="9" t="s">
        <v>1325</v>
      </c>
      <c r="C33" s="9">
        <v>5571</v>
      </c>
      <c r="D33" s="9">
        <v>4799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 t="s">
        <v>1329</v>
      </c>
      <c r="C38" s="7">
        <v>206503</v>
      </c>
      <c r="D38" s="7">
        <v>191826</v>
      </c>
    </row>
    <row r="39" spans="1:4" x14ac:dyDescent="0.25">
      <c r="A39" s="8" t="s">
        <v>497</v>
      </c>
      <c r="B39" s="9" t="s">
        <v>1330</v>
      </c>
      <c r="C39" s="9">
        <v>3057</v>
      </c>
      <c r="D39" s="9">
        <v>3044</v>
      </c>
    </row>
    <row r="40" spans="1:4" x14ac:dyDescent="0.25">
      <c r="A40" s="6" t="s">
        <v>498</v>
      </c>
      <c r="B40" s="7" t="s">
        <v>1331</v>
      </c>
      <c r="C40" s="7">
        <v>11850</v>
      </c>
      <c r="D40" s="7">
        <v>3882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1332</v>
      </c>
      <c r="C43" s="9">
        <v>131295</v>
      </c>
      <c r="D43" s="9">
        <v>135988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387541</v>
      </c>
      <c r="D45" s="5">
        <v>367651</v>
      </c>
    </row>
    <row r="46" spans="1:4" x14ac:dyDescent="0.25">
      <c r="A46" s="4" t="s">
        <v>39</v>
      </c>
      <c r="B46" s="5">
        <v>0</v>
      </c>
      <c r="C46" s="5">
        <v>417244</v>
      </c>
      <c r="D46" s="5">
        <v>409458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 t="s">
        <v>1333</v>
      </c>
      <c r="C49" s="9">
        <v>7775</v>
      </c>
      <c r="D49" s="9">
        <v>4067</v>
      </c>
    </row>
    <row r="50" spans="1:4" x14ac:dyDescent="0.25">
      <c r="A50" s="6" t="s">
        <v>501</v>
      </c>
      <c r="B50" s="7">
        <v>0</v>
      </c>
      <c r="C50" s="7">
        <v>28082</v>
      </c>
      <c r="D50" s="7">
        <v>22544</v>
      </c>
    </row>
    <row r="51" spans="1:4" x14ac:dyDescent="0.25">
      <c r="A51" s="8" t="s">
        <v>44</v>
      </c>
      <c r="B51" s="9" t="s">
        <v>1334</v>
      </c>
      <c r="C51" s="9">
        <v>18244</v>
      </c>
      <c r="D51" s="9">
        <v>14144</v>
      </c>
    </row>
    <row r="52" spans="1:4" x14ac:dyDescent="0.25">
      <c r="A52" s="6" t="s">
        <v>46</v>
      </c>
      <c r="B52" s="7" t="s">
        <v>1324</v>
      </c>
      <c r="C52" s="7">
        <v>88</v>
      </c>
      <c r="D52" s="7">
        <v>26</v>
      </c>
    </row>
    <row r="53" spans="1:4" x14ac:dyDescent="0.25">
      <c r="A53" s="8" t="s">
        <v>45</v>
      </c>
      <c r="B53" s="9" t="s">
        <v>1335</v>
      </c>
      <c r="C53" s="9">
        <v>6238</v>
      </c>
      <c r="D53" s="9">
        <v>5104</v>
      </c>
    </row>
    <row r="54" spans="1:4" x14ac:dyDescent="0.25">
      <c r="A54" s="6" t="s">
        <v>56</v>
      </c>
      <c r="B54" s="7" t="s">
        <v>1336</v>
      </c>
      <c r="C54" s="7">
        <v>3512</v>
      </c>
      <c r="D54" s="7">
        <v>3270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1337</v>
      </c>
      <c r="C58" s="7">
        <v>9631</v>
      </c>
      <c r="D58" s="7">
        <v>8710</v>
      </c>
    </row>
    <row r="59" spans="1:4" x14ac:dyDescent="0.25">
      <c r="A59" s="8" t="s">
        <v>504</v>
      </c>
      <c r="B59" s="9">
        <v>0</v>
      </c>
      <c r="C59" s="9">
        <v>45488</v>
      </c>
      <c r="D59" s="9">
        <v>35321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45488</v>
      </c>
      <c r="D61" s="5">
        <v>35321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 t="s">
        <v>1333</v>
      </c>
      <c r="C63" s="9">
        <v>211560</v>
      </c>
      <c r="D63" s="9">
        <v>201940</v>
      </c>
    </row>
    <row r="64" spans="1:4" x14ac:dyDescent="0.25">
      <c r="A64" s="6" t="s">
        <v>501</v>
      </c>
      <c r="B64" s="7">
        <v>0</v>
      </c>
      <c r="C64" s="7">
        <v>2370</v>
      </c>
      <c r="D64" s="7">
        <v>2554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 t="s">
        <v>1324</v>
      </c>
      <c r="C66" s="7">
        <v>2005</v>
      </c>
      <c r="D66" s="7">
        <v>2005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 t="s">
        <v>1338</v>
      </c>
      <c r="C68" s="7">
        <v>365</v>
      </c>
      <c r="D68" s="7">
        <v>549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0</v>
      </c>
      <c r="C71" s="9">
        <v>0</v>
      </c>
      <c r="D71" s="9">
        <v>0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1337</v>
      </c>
      <c r="C73" s="9">
        <v>151618</v>
      </c>
      <c r="D73" s="9">
        <v>146016</v>
      </c>
    </row>
    <row r="74" spans="1:4" x14ac:dyDescent="0.25">
      <c r="A74" s="4" t="s">
        <v>59</v>
      </c>
      <c r="B74" s="5">
        <v>0</v>
      </c>
      <c r="C74" s="5">
        <v>365548</v>
      </c>
      <c r="D74" s="5">
        <v>350510</v>
      </c>
    </row>
    <row r="75" spans="1:4" x14ac:dyDescent="0.25">
      <c r="A75" s="4" t="s">
        <v>60</v>
      </c>
      <c r="B75" s="5">
        <v>0</v>
      </c>
      <c r="C75" s="5">
        <v>411036</v>
      </c>
      <c r="D75" s="5">
        <v>385831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15</v>
      </c>
      <c r="C77" s="9">
        <v>70662</v>
      </c>
      <c r="D77" s="9">
        <v>70662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1390</v>
      </c>
      <c r="D82" s="7" t="s">
        <v>1340</v>
      </c>
    </row>
    <row r="83" spans="1:6" x14ac:dyDescent="0.25">
      <c r="A83" s="8" t="s">
        <v>68</v>
      </c>
      <c r="B83" s="9">
        <v>0</v>
      </c>
      <c r="C83" s="9">
        <v>24236</v>
      </c>
      <c r="D83" s="9">
        <v>6048</v>
      </c>
    </row>
    <row r="84" spans="1:6" x14ac:dyDescent="0.25">
      <c r="A84" s="4" t="s">
        <v>71</v>
      </c>
      <c r="B84" s="5">
        <v>0</v>
      </c>
      <c r="C84" s="5">
        <v>6208</v>
      </c>
      <c r="D84" s="5">
        <v>23627</v>
      </c>
    </row>
    <row r="85" spans="1:6" x14ac:dyDescent="0.25">
      <c r="A85" s="4" t="s">
        <v>72</v>
      </c>
      <c r="B85" s="5">
        <v>0</v>
      </c>
      <c r="C85" s="5">
        <v>417244</v>
      </c>
      <c r="D85" s="5">
        <v>409458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1391</v>
      </c>
      <c r="D89" s="3" t="s">
        <v>1163</v>
      </c>
      <c r="E89" s="3" t="s">
        <v>1392</v>
      </c>
      <c r="F89" s="3" t="s">
        <v>1164</v>
      </c>
    </row>
    <row r="90" spans="1:6" x14ac:dyDescent="0.25">
      <c r="A90" s="4" t="s">
        <v>510</v>
      </c>
      <c r="B90" s="5" t="s">
        <v>1343</v>
      </c>
      <c r="C90" s="5">
        <v>17659</v>
      </c>
      <c r="D90" s="5">
        <v>15592</v>
      </c>
      <c r="E90" s="5">
        <v>33066</v>
      </c>
      <c r="F90" s="5">
        <v>49320</v>
      </c>
    </row>
    <row r="91" spans="1:6" x14ac:dyDescent="0.25">
      <c r="A91" s="8" t="s">
        <v>79</v>
      </c>
      <c r="B91" s="9" t="s">
        <v>1344</v>
      </c>
      <c r="C91" s="9" t="s">
        <v>1393</v>
      </c>
      <c r="D91" s="9" t="s">
        <v>1394</v>
      </c>
      <c r="E91" s="9" t="s">
        <v>1395</v>
      </c>
      <c r="F91" s="9" t="s">
        <v>1396</v>
      </c>
    </row>
    <row r="92" spans="1:6" x14ac:dyDescent="0.25">
      <c r="A92" s="4" t="s">
        <v>82</v>
      </c>
      <c r="B92" s="5">
        <v>0</v>
      </c>
      <c r="C92" s="5" t="s">
        <v>1397</v>
      </c>
      <c r="D92" s="5" t="s">
        <v>1398</v>
      </c>
      <c r="E92" s="5" t="s">
        <v>1399</v>
      </c>
      <c r="F92" s="5">
        <v>3885</v>
      </c>
    </row>
    <row r="93" spans="1:6" x14ac:dyDescent="0.25">
      <c r="A93" s="8" t="s">
        <v>83</v>
      </c>
      <c r="B93" s="9" t="s">
        <v>1348</v>
      </c>
      <c r="C93" s="9" t="s">
        <v>1400</v>
      </c>
      <c r="D93" s="9" t="s">
        <v>1401</v>
      </c>
      <c r="E93" s="9" t="s">
        <v>1402</v>
      </c>
      <c r="F93" s="9" t="s">
        <v>1403</v>
      </c>
    </row>
    <row r="94" spans="1:6" x14ac:dyDescent="0.25">
      <c r="A94" s="6" t="s">
        <v>86</v>
      </c>
      <c r="B94" s="7" t="s">
        <v>1348</v>
      </c>
      <c r="C94" s="7" t="s">
        <v>1404</v>
      </c>
      <c r="D94" s="7" t="s">
        <v>1405</v>
      </c>
      <c r="E94" s="7" t="s">
        <v>1406</v>
      </c>
      <c r="F94" s="7" t="s">
        <v>1407</v>
      </c>
    </row>
    <row r="95" spans="1:6" x14ac:dyDescent="0.25">
      <c r="A95" s="8" t="s">
        <v>90</v>
      </c>
      <c r="B95" s="9" t="s">
        <v>1353</v>
      </c>
      <c r="C95" s="9">
        <v>766</v>
      </c>
      <c r="D95" s="9">
        <v>134</v>
      </c>
      <c r="E95" s="9">
        <v>1000</v>
      </c>
      <c r="F95" s="9">
        <v>1400</v>
      </c>
    </row>
    <row r="96" spans="1:6" x14ac:dyDescent="0.25">
      <c r="A96" s="6" t="s">
        <v>91</v>
      </c>
      <c r="B96" s="7" t="s">
        <v>1353</v>
      </c>
      <c r="C96" s="7" t="s">
        <v>1408</v>
      </c>
      <c r="D96" s="7" t="s">
        <v>1171</v>
      </c>
      <c r="E96" s="7" t="s">
        <v>1409</v>
      </c>
      <c r="F96" s="7" t="s">
        <v>150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1410</v>
      </c>
      <c r="D98" s="5" t="s">
        <v>1411</v>
      </c>
      <c r="E98" s="5" t="s">
        <v>1412</v>
      </c>
      <c r="F98" s="5" t="s">
        <v>1413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 t="s">
        <v>1356</v>
      </c>
      <c r="C100" s="7">
        <v>140</v>
      </c>
      <c r="D100" s="7">
        <v>94</v>
      </c>
      <c r="E100" s="7">
        <v>155</v>
      </c>
      <c r="F100" s="7">
        <v>273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 t="s">
        <v>1356</v>
      </c>
      <c r="C102" s="7" t="s">
        <v>1414</v>
      </c>
      <c r="D102" s="7" t="s">
        <v>1174</v>
      </c>
      <c r="E102" s="7" t="s">
        <v>1415</v>
      </c>
      <c r="F102" s="7" t="s">
        <v>1175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 t="s">
        <v>1358</v>
      </c>
      <c r="C105" s="9" t="s">
        <v>1416</v>
      </c>
      <c r="D105" s="9" t="s">
        <v>1417</v>
      </c>
      <c r="E105" s="9" t="s">
        <v>1418</v>
      </c>
      <c r="F105" s="9" t="s">
        <v>1419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1420</v>
      </c>
      <c r="D110" s="5" t="s">
        <v>1178</v>
      </c>
      <c r="E110" s="5" t="s">
        <v>1421</v>
      </c>
      <c r="F110" s="5" t="s">
        <v>1179</v>
      </c>
    </row>
    <row r="111" spans="1:6" x14ac:dyDescent="0.25">
      <c r="A111" s="8" t="s">
        <v>530</v>
      </c>
      <c r="B111" s="9" t="s">
        <v>1361</v>
      </c>
      <c r="C111" s="9">
        <v>6914</v>
      </c>
      <c r="D111" s="9">
        <v>4347</v>
      </c>
      <c r="E111" s="9">
        <v>14899</v>
      </c>
      <c r="F111" s="9">
        <v>5208</v>
      </c>
    </row>
    <row r="112" spans="1:6" x14ac:dyDescent="0.25">
      <c r="A112" s="6" t="s">
        <v>531</v>
      </c>
      <c r="B112" s="7">
        <v>0</v>
      </c>
      <c r="C112" s="7" t="s">
        <v>1422</v>
      </c>
      <c r="D112" s="7" t="s">
        <v>1180</v>
      </c>
      <c r="E112" s="7" t="s">
        <v>1423</v>
      </c>
      <c r="F112" s="7" t="s">
        <v>1181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1422</v>
      </c>
      <c r="D114" s="5" t="s">
        <v>1180</v>
      </c>
      <c r="E114" s="5" t="s">
        <v>1423</v>
      </c>
      <c r="F114" s="5" t="s">
        <v>1181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1424</v>
      </c>
      <c r="D117" s="9" t="s">
        <v>1425</v>
      </c>
      <c r="E117" s="9" t="s">
        <v>1426</v>
      </c>
      <c r="F117" s="9" t="s">
        <v>1183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1424</v>
      </c>
      <c r="D119" s="9" t="s">
        <v>1425</v>
      </c>
      <c r="E119" s="9" t="s">
        <v>1426</v>
      </c>
      <c r="F119" s="9" t="s">
        <v>1183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1140</v>
      </c>
      <c r="B134" s="7">
        <v>61450</v>
      </c>
      <c r="C134" s="7">
        <v>0</v>
      </c>
      <c r="D134" s="7">
        <v>0</v>
      </c>
      <c r="E134" s="7">
        <v>0</v>
      </c>
      <c r="F134" s="7">
        <v>3036</v>
      </c>
      <c r="G134" s="7">
        <v>19789</v>
      </c>
      <c r="H134" s="7">
        <v>0</v>
      </c>
      <c r="I134" s="7">
        <v>0</v>
      </c>
      <c r="J134" s="7">
        <v>0</v>
      </c>
      <c r="K134" s="7" t="s">
        <v>1066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1066</v>
      </c>
      <c r="X134" s="7">
        <v>84125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3036</v>
      </c>
      <c r="G137" s="9">
        <v>19789</v>
      </c>
      <c r="H137" s="9">
        <v>0</v>
      </c>
      <c r="I137" s="9">
        <v>0</v>
      </c>
      <c r="J137" s="9">
        <v>0</v>
      </c>
      <c r="K137" s="9" t="s">
        <v>1066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1066</v>
      </c>
      <c r="X137" s="9">
        <v>84125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1181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1181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150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150</v>
      </c>
      <c r="X141" s="9">
        <v>150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1181</v>
      </c>
      <c r="H142" s="7">
        <v>0</v>
      </c>
      <c r="I142" s="7">
        <v>0</v>
      </c>
      <c r="J142" s="7">
        <v>0</v>
      </c>
      <c r="K142" s="7">
        <v>150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150</v>
      </c>
      <c r="X142" s="7" t="s">
        <v>1184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1142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1142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1185</v>
      </c>
      <c r="H156" s="7">
        <v>0</v>
      </c>
      <c r="I156" s="7">
        <v>0</v>
      </c>
      <c r="J156" s="7">
        <v>0</v>
      </c>
      <c r="K156" s="7">
        <v>150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150</v>
      </c>
      <c r="X156" s="7" t="s">
        <v>1186</v>
      </c>
    </row>
    <row r="157" spans="1:24" x14ac:dyDescent="0.25">
      <c r="A157" s="8" t="s">
        <v>1187</v>
      </c>
      <c r="B157" s="9">
        <v>61450</v>
      </c>
      <c r="C157" s="9">
        <v>0</v>
      </c>
      <c r="D157" s="9">
        <v>0</v>
      </c>
      <c r="E157" s="9">
        <v>0</v>
      </c>
      <c r="F157" s="9">
        <v>3036</v>
      </c>
      <c r="G157" s="9" t="s">
        <v>1162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33522</v>
      </c>
    </row>
    <row r="158" spans="1:24" x14ac:dyDescent="0.25">
      <c r="A158" s="6" t="s">
        <v>1365</v>
      </c>
      <c r="B158" s="7">
        <v>70662</v>
      </c>
      <c r="C158" s="7">
        <v>0</v>
      </c>
      <c r="D158" s="7">
        <v>0</v>
      </c>
      <c r="E158" s="7">
        <v>0</v>
      </c>
      <c r="F158" s="7">
        <v>3036</v>
      </c>
      <c r="G158" s="7" t="s">
        <v>1340</v>
      </c>
      <c r="H158" s="7">
        <v>0</v>
      </c>
      <c r="I158" s="7">
        <v>6048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6048</v>
      </c>
      <c r="X158" s="7">
        <v>23627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70662</v>
      </c>
      <c r="C161" s="9">
        <v>0</v>
      </c>
      <c r="D161" s="9">
        <v>0</v>
      </c>
      <c r="E161" s="9">
        <v>0</v>
      </c>
      <c r="F161" s="9">
        <v>3036</v>
      </c>
      <c r="G161" s="9" t="s">
        <v>1340</v>
      </c>
      <c r="H161" s="9">
        <v>0</v>
      </c>
      <c r="I161" s="9">
        <v>6048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6048</v>
      </c>
      <c r="X161" s="9">
        <v>23627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1423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1423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18188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18188</v>
      </c>
      <c r="X165" s="9">
        <v>18188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1423</v>
      </c>
      <c r="H166" s="7">
        <v>0</v>
      </c>
      <c r="I166" s="7">
        <v>18188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18188</v>
      </c>
      <c r="X166" s="7" t="s">
        <v>1427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 t="s">
        <v>1423</v>
      </c>
      <c r="H180" s="7">
        <v>0</v>
      </c>
      <c r="I180" s="7">
        <v>18188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18188</v>
      </c>
      <c r="X180" s="7" t="s">
        <v>1427</v>
      </c>
    </row>
    <row r="181" spans="1:24" x14ac:dyDescent="0.25">
      <c r="A181" s="8" t="s">
        <v>1428</v>
      </c>
      <c r="B181" s="9">
        <v>70662</v>
      </c>
      <c r="C181" s="9">
        <v>0</v>
      </c>
      <c r="D181" s="9">
        <v>0</v>
      </c>
      <c r="E181" s="9">
        <v>0</v>
      </c>
      <c r="F181" s="9">
        <v>3036</v>
      </c>
      <c r="G181" s="9" t="s">
        <v>1390</v>
      </c>
      <c r="H181" s="9">
        <v>0</v>
      </c>
      <c r="I181" s="9">
        <v>24236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24236</v>
      </c>
      <c r="X181" s="9">
        <v>6208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1429</v>
      </c>
      <c r="D185" s="3" t="s">
        <v>1188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38526</v>
      </c>
      <c r="D188" s="7">
        <v>44962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1430</v>
      </c>
      <c r="D194" s="7" t="s">
        <v>1189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1431</v>
      </c>
      <c r="D196" s="7" t="s">
        <v>1190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1432</v>
      </c>
      <c r="D198" s="7" t="s">
        <v>1191</v>
      </c>
    </row>
    <row r="199" spans="1:4" x14ac:dyDescent="0.25">
      <c r="A199" s="8" t="s">
        <v>591</v>
      </c>
      <c r="B199" s="9">
        <v>0</v>
      </c>
      <c r="C199" s="9">
        <v>2928</v>
      </c>
      <c r="D199" s="9" t="s">
        <v>1192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2928</v>
      </c>
      <c r="D206" s="5" t="s">
        <v>1192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 t="s">
        <v>1374</v>
      </c>
      <c r="C224" s="7">
        <v>0</v>
      </c>
      <c r="D224" s="7" t="s">
        <v>1193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 t="s">
        <v>1375</v>
      </c>
      <c r="C229" s="9" t="s">
        <v>1433</v>
      </c>
      <c r="D229" s="9" t="s">
        <v>1194</v>
      </c>
    </row>
    <row r="230" spans="1:4" x14ac:dyDescent="0.25">
      <c r="A230" s="6" t="s">
        <v>224</v>
      </c>
      <c r="B230" s="7" t="s">
        <v>1377</v>
      </c>
      <c r="C230" s="7" t="s">
        <v>1434</v>
      </c>
      <c r="D230" s="7" t="s">
        <v>1195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1435</v>
      </c>
      <c r="D234" s="5" t="s">
        <v>1196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0</v>
      </c>
      <c r="D237" s="9">
        <v>10000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26.5</v>
      </c>
      <c r="C244" s="7" t="s">
        <v>1436</v>
      </c>
      <c r="D244" s="7" t="s">
        <v>1197</v>
      </c>
    </row>
    <row r="245" spans="1:4" x14ac:dyDescent="0.25">
      <c r="A245" s="8" t="s">
        <v>243</v>
      </c>
      <c r="B245" s="9" t="s">
        <v>1126</v>
      </c>
      <c r="C245" s="9" t="s">
        <v>1437</v>
      </c>
      <c r="D245" s="9" t="s">
        <v>1198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26.5</v>
      </c>
      <c r="C250" s="7" t="s">
        <v>1438</v>
      </c>
      <c r="D250" s="7" t="s">
        <v>1199</v>
      </c>
    </row>
    <row r="251" spans="1:4" x14ac:dyDescent="0.25">
      <c r="A251" s="8" t="s">
        <v>629</v>
      </c>
      <c r="B251" s="9" t="s">
        <v>1383</v>
      </c>
      <c r="C251" s="9">
        <v>0</v>
      </c>
      <c r="D251" s="9" t="s">
        <v>1142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1439</v>
      </c>
      <c r="D254" s="5" t="s">
        <v>1200</v>
      </c>
    </row>
    <row r="255" spans="1:4" x14ac:dyDescent="0.25">
      <c r="A255" s="8" t="s">
        <v>250</v>
      </c>
      <c r="B255" s="9">
        <v>0</v>
      </c>
      <c r="C255" s="9" t="s">
        <v>1440</v>
      </c>
      <c r="D255" s="9" t="s">
        <v>1034</v>
      </c>
    </row>
    <row r="256" spans="1:4" x14ac:dyDescent="0.25">
      <c r="A256" s="6" t="s">
        <v>253</v>
      </c>
      <c r="B256" s="7">
        <v>0</v>
      </c>
      <c r="C256" s="7">
        <v>5254</v>
      </c>
      <c r="D256" s="7" t="s">
        <v>1201</v>
      </c>
    </row>
    <row r="257" spans="1:6" x14ac:dyDescent="0.25">
      <c r="A257" s="8" t="s">
        <v>254</v>
      </c>
      <c r="B257" s="9">
        <v>0</v>
      </c>
      <c r="C257" s="9" t="s">
        <v>1441</v>
      </c>
      <c r="D257" s="9" t="s">
        <v>1202</v>
      </c>
    </row>
    <row r="258" spans="1:6" x14ac:dyDescent="0.25">
      <c r="A258" s="6" t="s">
        <v>255</v>
      </c>
      <c r="B258" s="7" t="s">
        <v>1322</v>
      </c>
      <c r="C258" s="7">
        <v>18826</v>
      </c>
      <c r="D258" s="7">
        <v>56407</v>
      </c>
    </row>
    <row r="259" spans="1:6" x14ac:dyDescent="0.25">
      <c r="A259" s="4" t="s">
        <v>256</v>
      </c>
      <c r="B259" s="5" t="s">
        <v>1322</v>
      </c>
      <c r="C259" s="5">
        <v>10261</v>
      </c>
      <c r="D259" s="5">
        <v>19810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1391</v>
      </c>
      <c r="D263" s="3" t="s">
        <v>1163</v>
      </c>
      <c r="E263" s="3" t="s">
        <v>1392</v>
      </c>
      <c r="F263" s="3" t="s">
        <v>1164</v>
      </c>
    </row>
    <row r="264" spans="1:6" x14ac:dyDescent="0.25">
      <c r="A264" s="6" t="s">
        <v>258</v>
      </c>
      <c r="B264" s="7">
        <v>0</v>
      </c>
      <c r="C264" s="7" t="s">
        <v>1422</v>
      </c>
      <c r="D264" s="7" t="s">
        <v>1180</v>
      </c>
      <c r="E264" s="7" t="s">
        <v>1423</v>
      </c>
      <c r="F264" s="7" t="s">
        <v>1181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 t="s">
        <v>1442</v>
      </c>
      <c r="C267" s="9">
        <v>18188</v>
      </c>
      <c r="D267" s="9">
        <v>0</v>
      </c>
      <c r="E267" s="9">
        <v>18188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25</v>
      </c>
      <c r="C269" s="9">
        <v>0</v>
      </c>
      <c r="D269" s="9">
        <v>150</v>
      </c>
      <c r="E269" s="9">
        <v>0</v>
      </c>
      <c r="F269" s="9">
        <v>150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18188</v>
      </c>
      <c r="D272" s="7">
        <v>150</v>
      </c>
      <c r="E272" s="7">
        <v>18188</v>
      </c>
      <c r="F272" s="7">
        <v>150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18188</v>
      </c>
      <c r="D303" s="5">
        <v>150</v>
      </c>
      <c r="E303" s="5">
        <v>18188</v>
      </c>
      <c r="F303" s="5">
        <v>150</v>
      </c>
    </row>
    <row r="304" spans="1:6" x14ac:dyDescent="0.25">
      <c r="A304" s="4" t="s">
        <v>671</v>
      </c>
      <c r="B304" s="5">
        <v>0</v>
      </c>
      <c r="C304" s="5">
        <v>1664</v>
      </c>
      <c r="D304" s="5" t="s">
        <v>1443</v>
      </c>
      <c r="E304" s="5" t="s">
        <v>1427</v>
      </c>
      <c r="F304" s="5" t="s">
        <v>1184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44410.460706018501</v>
      </c>
    </row>
    <row r="311" spans="1:2" x14ac:dyDescent="0.25">
      <c r="A311" s="8" t="s">
        <v>1387</v>
      </c>
      <c r="B311" s="10">
        <v>44410.4597685185</v>
      </c>
    </row>
    <row r="312" spans="1:2" x14ac:dyDescent="0.25">
      <c r="A312" s="4" t="s">
        <v>278</v>
      </c>
      <c r="B312" s="5"/>
    </row>
    <row r="313" spans="1:2" x14ac:dyDescent="0.25">
      <c r="A313" s="8" t="s">
        <v>1387</v>
      </c>
      <c r="B313" s="10">
        <v>44410.459849537001</v>
      </c>
    </row>
    <row r="314" spans="1:2" x14ac:dyDescent="0.25">
      <c r="A314" s="6" t="s">
        <v>276</v>
      </c>
      <c r="B314" s="11">
        <v>44410.460821759298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44410.460902777799</v>
      </c>
    </row>
    <row r="317" spans="1:2" x14ac:dyDescent="0.25">
      <c r="A317" s="8" t="s">
        <v>1387</v>
      </c>
      <c r="B317" s="10">
        <v>44410.459918981498</v>
      </c>
    </row>
    <row r="318" spans="1:2" x14ac:dyDescent="0.25">
      <c r="A318" s="4" t="s">
        <v>280</v>
      </c>
      <c r="B318" s="5"/>
    </row>
    <row r="319" spans="1:2" x14ac:dyDescent="0.25">
      <c r="A319" s="8" t="s">
        <v>1387</v>
      </c>
      <c r="B319" s="10">
        <v>44410.460023148102</v>
      </c>
    </row>
    <row r="320" spans="1:2" x14ac:dyDescent="0.25">
      <c r="A320" s="6" t="s">
        <v>276</v>
      </c>
      <c r="B320" s="11">
        <v>44410.460972222201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4858-8F1D-45A2-B4E6-4397CADE8AFC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49" customWidth="1"/>
    <col min="5" max="6" width="51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1444</v>
      </c>
    </row>
    <row r="3" spans="1:4" x14ac:dyDescent="0.25">
      <c r="A3" t="s">
        <v>1320</v>
      </c>
    </row>
    <row r="4" spans="1:4" x14ac:dyDescent="0.25">
      <c r="A4" t="s">
        <v>353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1445</v>
      </c>
      <c r="D9" s="3" t="s">
        <v>1246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 t="s">
        <v>1322</v>
      </c>
      <c r="C12" s="7">
        <v>12388</v>
      </c>
      <c r="D12" s="7">
        <v>18826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13910</v>
      </c>
      <c r="D14" s="7">
        <v>18660</v>
      </c>
    </row>
    <row r="15" spans="1:4" x14ac:dyDescent="0.25">
      <c r="A15" s="8" t="s">
        <v>31</v>
      </c>
      <c r="B15" s="9" t="s">
        <v>1323</v>
      </c>
      <c r="C15" s="9">
        <v>8890</v>
      </c>
      <c r="D15" s="9">
        <v>12629</v>
      </c>
    </row>
    <row r="16" spans="1:4" x14ac:dyDescent="0.25">
      <c r="A16" s="6" t="s">
        <v>18</v>
      </c>
      <c r="B16" s="7" t="s">
        <v>1324</v>
      </c>
      <c r="C16" s="7">
        <v>7</v>
      </c>
      <c r="D16" s="7">
        <v>1</v>
      </c>
    </row>
    <row r="17" spans="1:4" x14ac:dyDescent="0.25">
      <c r="A17" s="8" t="s">
        <v>32</v>
      </c>
      <c r="B17" s="9" t="s">
        <v>1325</v>
      </c>
      <c r="C17" s="9">
        <v>5013</v>
      </c>
      <c r="D17" s="9">
        <v>6030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 t="s">
        <v>1326</v>
      </c>
      <c r="C19" s="9">
        <v>2336</v>
      </c>
      <c r="D19" s="9">
        <v>2211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 t="s">
        <v>1327</v>
      </c>
      <c r="C22" s="7">
        <v>6275</v>
      </c>
      <c r="D22" s="7">
        <v>2110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34909</v>
      </c>
      <c r="D24" s="7">
        <v>41807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34909</v>
      </c>
      <c r="D26" s="5">
        <v>41807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 t="s">
        <v>1328</v>
      </c>
      <c r="C29" s="9">
        <v>63149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9055</v>
      </c>
      <c r="D30" s="7">
        <v>20105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 t="s">
        <v>1324</v>
      </c>
      <c r="C32" s="7">
        <v>2982</v>
      </c>
      <c r="D32" s="7">
        <v>15306</v>
      </c>
    </row>
    <row r="33" spans="1:4" x14ac:dyDescent="0.25">
      <c r="A33" s="8" t="s">
        <v>32</v>
      </c>
      <c r="B33" s="9" t="s">
        <v>1325</v>
      </c>
      <c r="C33" s="9">
        <v>6073</v>
      </c>
      <c r="D33" s="9">
        <v>4799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 t="s">
        <v>1329</v>
      </c>
      <c r="C38" s="7">
        <v>199660</v>
      </c>
      <c r="D38" s="7">
        <v>191826</v>
      </c>
    </row>
    <row r="39" spans="1:4" x14ac:dyDescent="0.25">
      <c r="A39" s="8" t="s">
        <v>497</v>
      </c>
      <c r="B39" s="9" t="s">
        <v>1330</v>
      </c>
      <c r="C39" s="9">
        <v>2742</v>
      </c>
      <c r="D39" s="9">
        <v>3044</v>
      </c>
    </row>
    <row r="40" spans="1:4" x14ac:dyDescent="0.25">
      <c r="A40" s="6" t="s">
        <v>498</v>
      </c>
      <c r="B40" s="7" t="s">
        <v>1331</v>
      </c>
      <c r="C40" s="7">
        <v>10766</v>
      </c>
      <c r="D40" s="7">
        <v>3882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1332</v>
      </c>
      <c r="C43" s="9">
        <v>127542</v>
      </c>
      <c r="D43" s="9">
        <v>135988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412914</v>
      </c>
      <c r="D45" s="5">
        <v>367651</v>
      </c>
    </row>
    <row r="46" spans="1:4" x14ac:dyDescent="0.25">
      <c r="A46" s="4" t="s">
        <v>39</v>
      </c>
      <c r="B46" s="5">
        <v>0</v>
      </c>
      <c r="C46" s="5">
        <v>447823</v>
      </c>
      <c r="D46" s="5">
        <v>409458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 t="s">
        <v>1333</v>
      </c>
      <c r="C49" s="9">
        <v>8327</v>
      </c>
      <c r="D49" s="9">
        <v>4067</v>
      </c>
    </row>
    <row r="50" spans="1:4" x14ac:dyDescent="0.25">
      <c r="A50" s="6" t="s">
        <v>501</v>
      </c>
      <c r="B50" s="7">
        <v>0</v>
      </c>
      <c r="C50" s="7">
        <v>29511</v>
      </c>
      <c r="D50" s="7">
        <v>22544</v>
      </c>
    </row>
    <row r="51" spans="1:4" x14ac:dyDescent="0.25">
      <c r="A51" s="8" t="s">
        <v>44</v>
      </c>
      <c r="B51" s="9" t="s">
        <v>1334</v>
      </c>
      <c r="C51" s="9">
        <v>19805</v>
      </c>
      <c r="D51" s="9">
        <v>14144</v>
      </c>
    </row>
    <row r="52" spans="1:4" x14ac:dyDescent="0.25">
      <c r="A52" s="6" t="s">
        <v>46</v>
      </c>
      <c r="B52" s="7" t="s">
        <v>1324</v>
      </c>
      <c r="C52" s="7">
        <v>40</v>
      </c>
      <c r="D52" s="7">
        <v>26</v>
      </c>
    </row>
    <row r="53" spans="1:4" x14ac:dyDescent="0.25">
      <c r="A53" s="8" t="s">
        <v>45</v>
      </c>
      <c r="B53" s="9" t="s">
        <v>1335</v>
      </c>
      <c r="C53" s="9">
        <v>5724</v>
      </c>
      <c r="D53" s="9">
        <v>5104</v>
      </c>
    </row>
    <row r="54" spans="1:4" x14ac:dyDescent="0.25">
      <c r="A54" s="6" t="s">
        <v>56</v>
      </c>
      <c r="B54" s="7" t="s">
        <v>1336</v>
      </c>
      <c r="C54" s="7">
        <v>3942</v>
      </c>
      <c r="D54" s="7">
        <v>3270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1337</v>
      </c>
      <c r="C58" s="7">
        <v>10400</v>
      </c>
      <c r="D58" s="7">
        <v>8710</v>
      </c>
    </row>
    <row r="59" spans="1:4" x14ac:dyDescent="0.25">
      <c r="A59" s="8" t="s">
        <v>504</v>
      </c>
      <c r="B59" s="9">
        <v>0</v>
      </c>
      <c r="C59" s="9">
        <v>48238</v>
      </c>
      <c r="D59" s="9">
        <v>35321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48238</v>
      </c>
      <c r="D61" s="5">
        <v>35321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 t="s">
        <v>1333</v>
      </c>
      <c r="C63" s="9">
        <v>228814</v>
      </c>
      <c r="D63" s="9">
        <v>201940</v>
      </c>
    </row>
    <row r="64" spans="1:4" x14ac:dyDescent="0.25">
      <c r="A64" s="6" t="s">
        <v>501</v>
      </c>
      <c r="B64" s="7">
        <v>0</v>
      </c>
      <c r="C64" s="7">
        <v>2838</v>
      </c>
      <c r="D64" s="7">
        <v>2554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 t="s">
        <v>1324</v>
      </c>
      <c r="C66" s="7">
        <v>2005</v>
      </c>
      <c r="D66" s="7">
        <v>2005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 t="s">
        <v>1338</v>
      </c>
      <c r="C68" s="7">
        <v>833</v>
      </c>
      <c r="D68" s="7">
        <v>549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0</v>
      </c>
      <c r="C71" s="9">
        <v>0</v>
      </c>
      <c r="D71" s="9">
        <v>0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1337</v>
      </c>
      <c r="C73" s="9">
        <v>160077</v>
      </c>
      <c r="D73" s="9">
        <v>146016</v>
      </c>
    </row>
    <row r="74" spans="1:4" x14ac:dyDescent="0.25">
      <c r="A74" s="4" t="s">
        <v>59</v>
      </c>
      <c r="B74" s="5">
        <v>0</v>
      </c>
      <c r="C74" s="5">
        <v>391729</v>
      </c>
      <c r="D74" s="5">
        <v>350510</v>
      </c>
    </row>
    <row r="75" spans="1:4" x14ac:dyDescent="0.25">
      <c r="A75" s="4" t="s">
        <v>60</v>
      </c>
      <c r="B75" s="5">
        <v>0</v>
      </c>
      <c r="C75" s="5">
        <v>439967</v>
      </c>
      <c r="D75" s="5">
        <v>385831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15</v>
      </c>
      <c r="C77" s="9">
        <v>70662</v>
      </c>
      <c r="D77" s="9">
        <v>70662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1446</v>
      </c>
      <c r="D82" s="7" t="s">
        <v>1340</v>
      </c>
    </row>
    <row r="83" spans="1:6" x14ac:dyDescent="0.25">
      <c r="A83" s="8" t="s">
        <v>68</v>
      </c>
      <c r="B83" s="9">
        <v>0</v>
      </c>
      <c r="C83" s="9">
        <v>49919</v>
      </c>
      <c r="D83" s="9">
        <v>6048</v>
      </c>
    </row>
    <row r="84" spans="1:6" x14ac:dyDescent="0.25">
      <c r="A84" s="4" t="s">
        <v>71</v>
      </c>
      <c r="B84" s="5">
        <v>0</v>
      </c>
      <c r="C84" s="5">
        <v>7856</v>
      </c>
      <c r="D84" s="5">
        <v>23627</v>
      </c>
    </row>
    <row r="85" spans="1:6" x14ac:dyDescent="0.25">
      <c r="A85" s="4" t="s">
        <v>72</v>
      </c>
      <c r="B85" s="5">
        <v>0</v>
      </c>
      <c r="C85" s="5">
        <v>447823</v>
      </c>
      <c r="D85" s="5">
        <v>409458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1447</v>
      </c>
      <c r="D89" s="3" t="s">
        <v>1206</v>
      </c>
      <c r="E89" s="3" t="s">
        <v>1448</v>
      </c>
      <c r="F89" s="3" t="s">
        <v>1207</v>
      </c>
    </row>
    <row r="90" spans="1:6" x14ac:dyDescent="0.25">
      <c r="A90" s="4" t="s">
        <v>510</v>
      </c>
      <c r="B90" s="5" t="s">
        <v>1343</v>
      </c>
      <c r="C90" s="5">
        <v>25712</v>
      </c>
      <c r="D90" s="5">
        <v>21589</v>
      </c>
      <c r="E90" s="5">
        <v>58778</v>
      </c>
      <c r="F90" s="5">
        <v>70909</v>
      </c>
    </row>
    <row r="91" spans="1:6" x14ac:dyDescent="0.25">
      <c r="A91" s="8" t="s">
        <v>79</v>
      </c>
      <c r="B91" s="9" t="s">
        <v>1344</v>
      </c>
      <c r="C91" s="9" t="s">
        <v>1449</v>
      </c>
      <c r="D91" s="9" t="s">
        <v>1450</v>
      </c>
      <c r="E91" s="9" t="s">
        <v>1451</v>
      </c>
      <c r="F91" s="9" t="s">
        <v>1452</v>
      </c>
    </row>
    <row r="92" spans="1:6" x14ac:dyDescent="0.25">
      <c r="A92" s="4" t="s">
        <v>82</v>
      </c>
      <c r="B92" s="5">
        <v>0</v>
      </c>
      <c r="C92" s="5">
        <v>5251</v>
      </c>
      <c r="D92" s="5">
        <v>802</v>
      </c>
      <c r="E92" s="5">
        <v>3380</v>
      </c>
      <c r="F92" s="5">
        <v>4687</v>
      </c>
    </row>
    <row r="93" spans="1:6" x14ac:dyDescent="0.25">
      <c r="A93" s="8" t="s">
        <v>83</v>
      </c>
      <c r="B93" s="9" t="s">
        <v>1348</v>
      </c>
      <c r="C93" s="9" t="s">
        <v>1453</v>
      </c>
      <c r="D93" s="9" t="s">
        <v>934</v>
      </c>
      <c r="E93" s="9" t="s">
        <v>1454</v>
      </c>
      <c r="F93" s="9" t="s">
        <v>1455</v>
      </c>
    </row>
    <row r="94" spans="1:6" x14ac:dyDescent="0.25">
      <c r="A94" s="6" t="s">
        <v>86</v>
      </c>
      <c r="B94" s="7" t="s">
        <v>1348</v>
      </c>
      <c r="C94" s="7" t="s">
        <v>1456</v>
      </c>
      <c r="D94" s="7" t="s">
        <v>1457</v>
      </c>
      <c r="E94" s="7" t="s">
        <v>1458</v>
      </c>
      <c r="F94" s="7" t="s">
        <v>1459</v>
      </c>
    </row>
    <row r="95" spans="1:6" x14ac:dyDescent="0.25">
      <c r="A95" s="8" t="s">
        <v>90</v>
      </c>
      <c r="B95" s="9" t="s">
        <v>1353</v>
      </c>
      <c r="C95" s="9">
        <v>477</v>
      </c>
      <c r="D95" s="9">
        <v>5209</v>
      </c>
      <c r="E95" s="9">
        <v>1477</v>
      </c>
      <c r="F95" s="9">
        <v>6609</v>
      </c>
    </row>
    <row r="96" spans="1:6" x14ac:dyDescent="0.25">
      <c r="A96" s="6" t="s">
        <v>91</v>
      </c>
      <c r="B96" s="7" t="s">
        <v>1353</v>
      </c>
      <c r="C96" s="7" t="s">
        <v>311</v>
      </c>
      <c r="D96" s="7" t="s">
        <v>1214</v>
      </c>
      <c r="E96" s="7" t="s">
        <v>1460</v>
      </c>
      <c r="F96" s="7" t="s">
        <v>1215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1461</v>
      </c>
      <c r="D98" s="5" t="s">
        <v>1462</v>
      </c>
      <c r="E98" s="5" t="s">
        <v>1463</v>
      </c>
      <c r="F98" s="5" t="s">
        <v>1217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 t="s">
        <v>1356</v>
      </c>
      <c r="C100" s="7">
        <v>87</v>
      </c>
      <c r="D100" s="7">
        <v>207</v>
      </c>
      <c r="E100" s="7">
        <v>242</v>
      </c>
      <c r="F100" s="7">
        <v>480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 t="s">
        <v>1356</v>
      </c>
      <c r="C102" s="7" t="s">
        <v>1464</v>
      </c>
      <c r="D102" s="7" t="s">
        <v>482</v>
      </c>
      <c r="E102" s="7" t="s">
        <v>1465</v>
      </c>
      <c r="F102" s="7" t="s">
        <v>1218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 t="s">
        <v>1358</v>
      </c>
      <c r="C105" s="9" t="s">
        <v>1466</v>
      </c>
      <c r="D105" s="9" t="s">
        <v>1467</v>
      </c>
      <c r="E105" s="9" t="s">
        <v>1468</v>
      </c>
      <c r="F105" s="9" t="s">
        <v>1220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1469</v>
      </c>
      <c r="D110" s="5" t="s">
        <v>1221</v>
      </c>
      <c r="E110" s="5" t="s">
        <v>1470</v>
      </c>
      <c r="F110" s="5" t="s">
        <v>1222</v>
      </c>
    </row>
    <row r="111" spans="1:6" x14ac:dyDescent="0.25">
      <c r="A111" s="8" t="s">
        <v>530</v>
      </c>
      <c r="B111" s="9" t="s">
        <v>1361</v>
      </c>
      <c r="C111" s="9">
        <v>9744</v>
      </c>
      <c r="D111" s="9">
        <v>0</v>
      </c>
      <c r="E111" s="9">
        <v>24643</v>
      </c>
      <c r="F111" s="9">
        <v>5208</v>
      </c>
    </row>
    <row r="112" spans="1:6" x14ac:dyDescent="0.25">
      <c r="A112" s="6" t="s">
        <v>531</v>
      </c>
      <c r="B112" s="7">
        <v>0</v>
      </c>
      <c r="C112" s="7" t="s">
        <v>1471</v>
      </c>
      <c r="D112" s="7" t="s">
        <v>1221</v>
      </c>
      <c r="E112" s="7" t="s">
        <v>1472</v>
      </c>
      <c r="F112" s="7" t="s">
        <v>1223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1471</v>
      </c>
      <c r="D114" s="5" t="s">
        <v>1221</v>
      </c>
      <c r="E114" s="5" t="s">
        <v>1472</v>
      </c>
      <c r="F114" s="5" t="s">
        <v>1223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1473</v>
      </c>
      <c r="D117" s="9" t="s">
        <v>1474</v>
      </c>
      <c r="E117" s="9" t="s">
        <v>1475</v>
      </c>
      <c r="F117" s="9" t="s">
        <v>1476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1473</v>
      </c>
      <c r="D119" s="9" t="s">
        <v>1474</v>
      </c>
      <c r="E119" s="9" t="s">
        <v>1475</v>
      </c>
      <c r="F119" s="9" t="s">
        <v>1476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1140</v>
      </c>
      <c r="B134" s="7">
        <v>61450</v>
      </c>
      <c r="C134" s="7">
        <v>0</v>
      </c>
      <c r="D134" s="7">
        <v>0</v>
      </c>
      <c r="E134" s="7">
        <v>0</v>
      </c>
      <c r="F134" s="7">
        <v>3036</v>
      </c>
      <c r="G134" s="7">
        <v>19789</v>
      </c>
      <c r="H134" s="7">
        <v>0</v>
      </c>
      <c r="I134" s="7">
        <v>0</v>
      </c>
      <c r="J134" s="7">
        <v>0</v>
      </c>
      <c r="K134" s="7" t="s">
        <v>1066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1066</v>
      </c>
      <c r="X134" s="7">
        <v>84125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3036</v>
      </c>
      <c r="G137" s="9">
        <v>19789</v>
      </c>
      <c r="H137" s="9">
        <v>0</v>
      </c>
      <c r="I137" s="9">
        <v>0</v>
      </c>
      <c r="J137" s="9">
        <v>0</v>
      </c>
      <c r="K137" s="9" t="s">
        <v>1066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1066</v>
      </c>
      <c r="X137" s="9">
        <v>84125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1223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1223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150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150</v>
      </c>
      <c r="X141" s="9">
        <v>150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1223</v>
      </c>
      <c r="H142" s="7">
        <v>0</v>
      </c>
      <c r="I142" s="7">
        <v>0</v>
      </c>
      <c r="J142" s="7">
        <v>0</v>
      </c>
      <c r="K142" s="7">
        <v>150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150</v>
      </c>
      <c r="X142" s="7" t="s">
        <v>1226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1142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1142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1227</v>
      </c>
      <c r="H156" s="7">
        <v>0</v>
      </c>
      <c r="I156" s="7">
        <v>0</v>
      </c>
      <c r="J156" s="7">
        <v>0</v>
      </c>
      <c r="K156" s="7">
        <v>150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150</v>
      </c>
      <c r="X156" s="7" t="s">
        <v>1477</v>
      </c>
    </row>
    <row r="157" spans="1:24" x14ac:dyDescent="0.25">
      <c r="A157" s="8" t="s">
        <v>1229</v>
      </c>
      <c r="B157" s="9">
        <v>61450</v>
      </c>
      <c r="C157" s="9">
        <v>0</v>
      </c>
      <c r="D157" s="9">
        <v>0</v>
      </c>
      <c r="E157" s="9">
        <v>0</v>
      </c>
      <c r="F157" s="9">
        <v>3036</v>
      </c>
      <c r="G157" s="9" t="s">
        <v>1205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20507</v>
      </c>
    </row>
    <row r="158" spans="1:24" x14ac:dyDescent="0.25">
      <c r="A158" s="6" t="s">
        <v>1365</v>
      </c>
      <c r="B158" s="7">
        <v>70662</v>
      </c>
      <c r="C158" s="7">
        <v>0</v>
      </c>
      <c r="D158" s="7">
        <v>0</v>
      </c>
      <c r="E158" s="7">
        <v>0</v>
      </c>
      <c r="F158" s="7">
        <v>3036</v>
      </c>
      <c r="G158" s="7" t="s">
        <v>1340</v>
      </c>
      <c r="H158" s="7">
        <v>0</v>
      </c>
      <c r="I158" s="7">
        <v>6048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6048</v>
      </c>
      <c r="X158" s="7">
        <v>23627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70662</v>
      </c>
      <c r="C161" s="9">
        <v>0</v>
      </c>
      <c r="D161" s="9">
        <v>0</v>
      </c>
      <c r="E161" s="9">
        <v>0</v>
      </c>
      <c r="F161" s="9">
        <v>3036</v>
      </c>
      <c r="G161" s="9" t="s">
        <v>1340</v>
      </c>
      <c r="H161" s="9">
        <v>0</v>
      </c>
      <c r="I161" s="9">
        <v>6048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6048</v>
      </c>
      <c r="X161" s="9">
        <v>23627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1472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1472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43871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43871</v>
      </c>
      <c r="X165" s="9">
        <v>43871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1472</v>
      </c>
      <c r="H166" s="7">
        <v>0</v>
      </c>
      <c r="I166" s="7">
        <v>43871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43871</v>
      </c>
      <c r="X166" s="7" t="s">
        <v>1478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 t="s">
        <v>1472</v>
      </c>
      <c r="H180" s="7">
        <v>0</v>
      </c>
      <c r="I180" s="7">
        <v>43871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43871</v>
      </c>
      <c r="X180" s="7" t="s">
        <v>1478</v>
      </c>
    </row>
    <row r="181" spans="1:24" x14ac:dyDescent="0.25">
      <c r="A181" s="8" t="s">
        <v>1479</v>
      </c>
      <c r="B181" s="9">
        <v>70662</v>
      </c>
      <c r="C181" s="9">
        <v>0</v>
      </c>
      <c r="D181" s="9">
        <v>0</v>
      </c>
      <c r="E181" s="9">
        <v>0</v>
      </c>
      <c r="F181" s="9">
        <v>3036</v>
      </c>
      <c r="G181" s="9" t="s">
        <v>1446</v>
      </c>
      <c r="H181" s="9">
        <v>0</v>
      </c>
      <c r="I181" s="9">
        <v>49919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49919</v>
      </c>
      <c r="X181" s="9">
        <v>7856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1480</v>
      </c>
      <c r="D185" s="3" t="s">
        <v>1230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62232</v>
      </c>
      <c r="D188" s="7">
        <v>64696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1481</v>
      </c>
      <c r="D194" s="7" t="s">
        <v>1231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1482</v>
      </c>
      <c r="D196" s="7" t="s">
        <v>1232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1483</v>
      </c>
      <c r="D198" s="7" t="s">
        <v>1484</v>
      </c>
    </row>
    <row r="199" spans="1:4" x14ac:dyDescent="0.25">
      <c r="A199" s="8" t="s">
        <v>591</v>
      </c>
      <c r="B199" s="9">
        <v>0</v>
      </c>
      <c r="C199" s="9">
        <v>11631</v>
      </c>
      <c r="D199" s="9" t="s">
        <v>1485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>
        <v>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11631</v>
      </c>
      <c r="D206" s="5" t="s">
        <v>1485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 t="s">
        <v>1374</v>
      </c>
      <c r="C224" s="7">
        <v>0</v>
      </c>
      <c r="D224" s="7" t="s">
        <v>1193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 t="s">
        <v>1375</v>
      </c>
      <c r="C229" s="9" t="s">
        <v>1486</v>
      </c>
      <c r="D229" s="9" t="s">
        <v>1235</v>
      </c>
    </row>
    <row r="230" spans="1:4" x14ac:dyDescent="0.25">
      <c r="A230" s="6" t="s">
        <v>224</v>
      </c>
      <c r="B230" s="7" t="s">
        <v>1377</v>
      </c>
      <c r="C230" s="7" t="s">
        <v>1487</v>
      </c>
      <c r="D230" s="7" t="s">
        <v>1236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1488</v>
      </c>
      <c r="D234" s="5" t="s">
        <v>1237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4406</v>
      </c>
      <c r="D237" s="9">
        <v>10000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9212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26.5</v>
      </c>
      <c r="C244" s="7" t="s">
        <v>1489</v>
      </c>
      <c r="D244" s="7" t="s">
        <v>1238</v>
      </c>
    </row>
    <row r="245" spans="1:4" x14ac:dyDescent="0.25">
      <c r="A245" s="8" t="s">
        <v>243</v>
      </c>
      <c r="B245" s="9" t="s">
        <v>1126</v>
      </c>
      <c r="C245" s="9" t="s">
        <v>1490</v>
      </c>
      <c r="D245" s="9" t="s">
        <v>1239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26.5</v>
      </c>
      <c r="C250" s="7" t="s">
        <v>1491</v>
      </c>
      <c r="D250" s="7" t="s">
        <v>1240</v>
      </c>
    </row>
    <row r="251" spans="1:4" x14ac:dyDescent="0.25">
      <c r="A251" s="8" t="s">
        <v>629</v>
      </c>
      <c r="B251" s="9" t="s">
        <v>1383</v>
      </c>
      <c r="C251" s="9">
        <v>0</v>
      </c>
      <c r="D251" s="9" t="s">
        <v>1142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1492</v>
      </c>
      <c r="D254" s="5" t="s">
        <v>1241</v>
      </c>
    </row>
    <row r="255" spans="1:4" x14ac:dyDescent="0.25">
      <c r="A255" s="8" t="s">
        <v>250</v>
      </c>
      <c r="B255" s="9">
        <v>0</v>
      </c>
      <c r="C255" s="9" t="s">
        <v>1493</v>
      </c>
      <c r="D255" s="9" t="s">
        <v>1494</v>
      </c>
    </row>
    <row r="256" spans="1:4" x14ac:dyDescent="0.25">
      <c r="A256" s="6" t="s">
        <v>253</v>
      </c>
      <c r="B256" s="7">
        <v>0</v>
      </c>
      <c r="C256" s="7">
        <v>3489</v>
      </c>
      <c r="D256" s="7" t="s">
        <v>1243</v>
      </c>
    </row>
    <row r="257" spans="1:6" x14ac:dyDescent="0.25">
      <c r="A257" s="8" t="s">
        <v>254</v>
      </c>
      <c r="B257" s="9">
        <v>0</v>
      </c>
      <c r="C257" s="9" t="s">
        <v>1495</v>
      </c>
      <c r="D257" s="9" t="s">
        <v>1496</v>
      </c>
    </row>
    <row r="258" spans="1:6" x14ac:dyDescent="0.25">
      <c r="A258" s="6" t="s">
        <v>255</v>
      </c>
      <c r="B258" s="7" t="s">
        <v>1322</v>
      </c>
      <c r="C258" s="7">
        <v>18826</v>
      </c>
      <c r="D258" s="7">
        <v>56406</v>
      </c>
    </row>
    <row r="259" spans="1:6" x14ac:dyDescent="0.25">
      <c r="A259" s="4" t="s">
        <v>256</v>
      </c>
      <c r="B259" s="5" t="s">
        <v>1322</v>
      </c>
      <c r="C259" s="5">
        <v>12388</v>
      </c>
      <c r="D259" s="5">
        <v>15888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1447</v>
      </c>
      <c r="D263" s="3" t="s">
        <v>1206</v>
      </c>
      <c r="E263" s="3" t="s">
        <v>1448</v>
      </c>
      <c r="F263" s="3" t="s">
        <v>1207</v>
      </c>
    </row>
    <row r="264" spans="1:6" x14ac:dyDescent="0.25">
      <c r="A264" s="6" t="s">
        <v>258</v>
      </c>
      <c r="B264" s="7">
        <v>0</v>
      </c>
      <c r="C264" s="7" t="s">
        <v>1471</v>
      </c>
      <c r="D264" s="7" t="s">
        <v>1221</v>
      </c>
      <c r="E264" s="7" t="s">
        <v>1472</v>
      </c>
      <c r="F264" s="7" t="s">
        <v>1223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 t="s">
        <v>1442</v>
      </c>
      <c r="C267" s="9">
        <v>25683</v>
      </c>
      <c r="D267" s="9">
        <v>0</v>
      </c>
      <c r="E267" s="9">
        <v>43871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0</v>
      </c>
      <c r="E269" s="9">
        <v>0</v>
      </c>
      <c r="F269" s="9">
        <v>150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25683</v>
      </c>
      <c r="D272" s="7">
        <v>0</v>
      </c>
      <c r="E272" s="7">
        <v>43871</v>
      </c>
      <c r="F272" s="7">
        <v>150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25683</v>
      </c>
      <c r="D303" s="5">
        <v>0</v>
      </c>
      <c r="E303" s="5">
        <v>43871</v>
      </c>
      <c r="F303" s="5">
        <v>150</v>
      </c>
    </row>
    <row r="304" spans="1:6" x14ac:dyDescent="0.25">
      <c r="A304" s="4" t="s">
        <v>671</v>
      </c>
      <c r="B304" s="5">
        <v>0</v>
      </c>
      <c r="C304" s="5">
        <v>1646</v>
      </c>
      <c r="D304" s="5" t="s">
        <v>1221</v>
      </c>
      <c r="E304" s="5" t="s">
        <v>1478</v>
      </c>
      <c r="F304" s="5" t="s">
        <v>1226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44502.952511574098</v>
      </c>
    </row>
    <row r="311" spans="1:2" x14ac:dyDescent="0.25">
      <c r="A311" s="8" t="s">
        <v>1387</v>
      </c>
      <c r="B311" s="10">
        <v>44502.951655092598</v>
      </c>
    </row>
    <row r="312" spans="1:2" x14ac:dyDescent="0.25">
      <c r="A312" s="4" t="s">
        <v>278</v>
      </c>
      <c r="B312" s="5"/>
    </row>
    <row r="313" spans="1:2" x14ac:dyDescent="0.25">
      <c r="A313" s="8" t="s">
        <v>1387</v>
      </c>
      <c r="B313" s="10">
        <v>44502.951736111099</v>
      </c>
    </row>
    <row r="314" spans="1:2" x14ac:dyDescent="0.25">
      <c r="A314" s="6" t="s">
        <v>276</v>
      </c>
      <c r="B314" s="11">
        <v>44502.952743055597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44502.952835648102</v>
      </c>
    </row>
    <row r="317" spans="1:2" x14ac:dyDescent="0.25">
      <c r="A317" s="8" t="s">
        <v>1387</v>
      </c>
      <c r="B317" s="10">
        <v>44502.9518171296</v>
      </c>
    </row>
    <row r="318" spans="1:2" x14ac:dyDescent="0.25">
      <c r="A318" s="4" t="s">
        <v>280</v>
      </c>
      <c r="B318" s="5"/>
    </row>
    <row r="319" spans="1:2" x14ac:dyDescent="0.25">
      <c r="A319" s="8" t="s">
        <v>1387</v>
      </c>
      <c r="B319" s="10">
        <v>44502.951944444401</v>
      </c>
    </row>
    <row r="320" spans="1:2" x14ac:dyDescent="0.25">
      <c r="A320" s="6" t="s">
        <v>276</v>
      </c>
      <c r="B320" s="11">
        <v>44502.952916666698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B107-646D-416F-9686-F461166CD54B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51" customWidth="1"/>
    <col min="5" max="6" width="50.285156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1497</v>
      </c>
    </row>
    <row r="3" spans="1:4" x14ac:dyDescent="0.25">
      <c r="A3" t="s">
        <v>1320</v>
      </c>
    </row>
    <row r="4" spans="1:4" x14ac:dyDescent="0.25">
      <c r="A4" t="s">
        <v>421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1498</v>
      </c>
      <c r="D9" s="3" t="s">
        <v>1246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 t="s">
        <v>1322</v>
      </c>
      <c r="C12" s="7">
        <v>12860</v>
      </c>
      <c r="D12" s="7">
        <v>18826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12879</v>
      </c>
      <c r="D14" s="7">
        <v>18660</v>
      </c>
    </row>
    <row r="15" spans="1:4" x14ac:dyDescent="0.25">
      <c r="A15" s="8" t="s">
        <v>31</v>
      </c>
      <c r="B15" s="9" t="s">
        <v>1323</v>
      </c>
      <c r="C15" s="9">
        <v>8426</v>
      </c>
      <c r="D15" s="9">
        <v>12629</v>
      </c>
    </row>
    <row r="16" spans="1:4" x14ac:dyDescent="0.25">
      <c r="A16" s="6" t="s">
        <v>18</v>
      </c>
      <c r="B16" s="7" t="s">
        <v>1324</v>
      </c>
      <c r="C16" s="7">
        <v>5</v>
      </c>
      <c r="D16" s="7">
        <v>1</v>
      </c>
    </row>
    <row r="17" spans="1:4" x14ac:dyDescent="0.25">
      <c r="A17" s="8" t="s">
        <v>32</v>
      </c>
      <c r="B17" s="9" t="s">
        <v>1325</v>
      </c>
      <c r="C17" s="9">
        <v>4448</v>
      </c>
      <c r="D17" s="9">
        <v>6030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 t="s">
        <v>1326</v>
      </c>
      <c r="C19" s="9">
        <v>2736</v>
      </c>
      <c r="D19" s="9">
        <v>2211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 t="s">
        <v>1327</v>
      </c>
      <c r="C22" s="7">
        <v>6387</v>
      </c>
      <c r="D22" s="7">
        <v>2110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34862</v>
      </c>
      <c r="D24" s="7">
        <v>41807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34862</v>
      </c>
      <c r="D26" s="5">
        <v>41807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 t="s">
        <v>1328</v>
      </c>
      <c r="C29" s="9">
        <v>63149</v>
      </c>
      <c r="D29" s="9">
        <v>12806</v>
      </c>
    </row>
    <row r="30" spans="1:4" x14ac:dyDescent="0.25">
      <c r="A30" s="6" t="s">
        <v>491</v>
      </c>
      <c r="B30" s="7">
        <v>0</v>
      </c>
      <c r="C30" s="7">
        <v>9154</v>
      </c>
      <c r="D30" s="7">
        <v>20105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 t="s">
        <v>1324</v>
      </c>
      <c r="C32" s="7">
        <v>3119</v>
      </c>
      <c r="D32" s="7">
        <v>15306</v>
      </c>
    </row>
    <row r="33" spans="1:4" x14ac:dyDescent="0.25">
      <c r="A33" s="8" t="s">
        <v>32</v>
      </c>
      <c r="B33" s="9" t="s">
        <v>1325</v>
      </c>
      <c r="C33" s="9">
        <v>6035</v>
      </c>
      <c r="D33" s="9">
        <v>4799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 t="s">
        <v>1329</v>
      </c>
      <c r="C38" s="7">
        <v>201252</v>
      </c>
      <c r="D38" s="7">
        <v>191826</v>
      </c>
    </row>
    <row r="39" spans="1:4" x14ac:dyDescent="0.25">
      <c r="A39" s="8" t="s">
        <v>497</v>
      </c>
      <c r="B39" s="9" t="s">
        <v>1330</v>
      </c>
      <c r="C39" s="9">
        <v>2009</v>
      </c>
      <c r="D39" s="9">
        <v>3044</v>
      </c>
    </row>
    <row r="40" spans="1:4" x14ac:dyDescent="0.25">
      <c r="A40" s="6" t="s">
        <v>498</v>
      </c>
      <c r="B40" s="7" t="s">
        <v>1499</v>
      </c>
      <c r="C40" s="7">
        <v>8147</v>
      </c>
      <c r="D40" s="7">
        <v>3882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1332</v>
      </c>
      <c r="C43" s="9">
        <v>124726</v>
      </c>
      <c r="D43" s="9">
        <v>135988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408437</v>
      </c>
      <c r="D45" s="5">
        <v>367651</v>
      </c>
    </row>
    <row r="46" spans="1:4" x14ac:dyDescent="0.25">
      <c r="A46" s="4" t="s">
        <v>39</v>
      </c>
      <c r="B46" s="5">
        <v>0</v>
      </c>
      <c r="C46" s="5">
        <v>443299</v>
      </c>
      <c r="D46" s="5">
        <v>409458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 t="s">
        <v>1333</v>
      </c>
      <c r="C49" s="9">
        <v>4322</v>
      </c>
      <c r="D49" s="9">
        <v>4067</v>
      </c>
    </row>
    <row r="50" spans="1:4" x14ac:dyDescent="0.25">
      <c r="A50" s="6" t="s">
        <v>501</v>
      </c>
      <c r="B50" s="7">
        <v>0</v>
      </c>
      <c r="C50" s="7">
        <v>28058</v>
      </c>
      <c r="D50" s="7">
        <v>22544</v>
      </c>
    </row>
    <row r="51" spans="1:4" x14ac:dyDescent="0.25">
      <c r="A51" s="8" t="s">
        <v>44</v>
      </c>
      <c r="B51" s="9" t="s">
        <v>1334</v>
      </c>
      <c r="C51" s="9">
        <v>19302</v>
      </c>
      <c r="D51" s="9">
        <v>14144</v>
      </c>
    </row>
    <row r="52" spans="1:4" x14ac:dyDescent="0.25">
      <c r="A52" s="6" t="s">
        <v>46</v>
      </c>
      <c r="B52" s="7" t="s">
        <v>1324</v>
      </c>
      <c r="C52" s="7">
        <v>0</v>
      </c>
      <c r="D52" s="7">
        <v>26</v>
      </c>
    </row>
    <row r="53" spans="1:4" x14ac:dyDescent="0.25">
      <c r="A53" s="8" t="s">
        <v>45</v>
      </c>
      <c r="B53" s="9" t="s">
        <v>1335</v>
      </c>
      <c r="C53" s="9">
        <v>4615</v>
      </c>
      <c r="D53" s="9">
        <v>5104</v>
      </c>
    </row>
    <row r="54" spans="1:4" x14ac:dyDescent="0.25">
      <c r="A54" s="6" t="s">
        <v>56</v>
      </c>
      <c r="B54" s="7" t="s">
        <v>1500</v>
      </c>
      <c r="C54" s="7">
        <v>4141</v>
      </c>
      <c r="D54" s="7">
        <v>3270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1337</v>
      </c>
      <c r="C58" s="7">
        <v>10108</v>
      </c>
      <c r="D58" s="7">
        <v>8710</v>
      </c>
    </row>
    <row r="59" spans="1:4" x14ac:dyDescent="0.25">
      <c r="A59" s="8" t="s">
        <v>504</v>
      </c>
      <c r="B59" s="9">
        <v>0</v>
      </c>
      <c r="C59" s="9">
        <v>42488</v>
      </c>
      <c r="D59" s="9">
        <v>35321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42488</v>
      </c>
      <c r="D61" s="5">
        <v>35321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 t="s">
        <v>1333</v>
      </c>
      <c r="C63" s="9">
        <v>219709</v>
      </c>
      <c r="D63" s="9">
        <v>201940</v>
      </c>
    </row>
    <row r="64" spans="1:4" x14ac:dyDescent="0.25">
      <c r="A64" s="6" t="s">
        <v>501</v>
      </c>
      <c r="B64" s="7">
        <v>0</v>
      </c>
      <c r="C64" s="7">
        <v>2997</v>
      </c>
      <c r="D64" s="7">
        <v>2554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 t="s">
        <v>1324</v>
      </c>
      <c r="C66" s="7">
        <v>2253</v>
      </c>
      <c r="D66" s="7">
        <v>2005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 t="s">
        <v>1501</v>
      </c>
      <c r="C68" s="7">
        <v>744</v>
      </c>
      <c r="D68" s="7">
        <v>549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0</v>
      </c>
      <c r="C71" s="9">
        <v>0</v>
      </c>
      <c r="D71" s="9">
        <v>0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1337</v>
      </c>
      <c r="C73" s="9">
        <v>152618</v>
      </c>
      <c r="D73" s="9">
        <v>146016</v>
      </c>
    </row>
    <row r="74" spans="1:4" x14ac:dyDescent="0.25">
      <c r="A74" s="4" t="s">
        <v>59</v>
      </c>
      <c r="B74" s="5">
        <v>0</v>
      </c>
      <c r="C74" s="5">
        <v>375324</v>
      </c>
      <c r="D74" s="5">
        <v>350510</v>
      </c>
    </row>
    <row r="75" spans="1:4" x14ac:dyDescent="0.25">
      <c r="A75" s="4" t="s">
        <v>60</v>
      </c>
      <c r="B75" s="5">
        <v>0</v>
      </c>
      <c r="C75" s="5">
        <v>417812</v>
      </c>
      <c r="D75" s="5">
        <v>385831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16</v>
      </c>
      <c r="C77" s="9">
        <v>80534</v>
      </c>
      <c r="D77" s="9">
        <v>70662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1502</v>
      </c>
      <c r="D82" s="7" t="s">
        <v>1340</v>
      </c>
    </row>
    <row r="83" spans="1:6" x14ac:dyDescent="0.25">
      <c r="A83" s="8" t="s">
        <v>68</v>
      </c>
      <c r="B83" s="9">
        <v>0</v>
      </c>
      <c r="C83" s="9">
        <v>54320</v>
      </c>
      <c r="D83" s="9">
        <v>6048</v>
      </c>
    </row>
    <row r="84" spans="1:6" x14ac:dyDescent="0.25">
      <c r="A84" s="4" t="s">
        <v>71</v>
      </c>
      <c r="B84" s="5">
        <v>0</v>
      </c>
      <c r="C84" s="5">
        <v>25487</v>
      </c>
      <c r="D84" s="5">
        <v>23627</v>
      </c>
    </row>
    <row r="85" spans="1:6" x14ac:dyDescent="0.25">
      <c r="A85" s="4" t="s">
        <v>72</v>
      </c>
      <c r="B85" s="5">
        <v>0</v>
      </c>
      <c r="C85" s="5">
        <v>443299</v>
      </c>
      <c r="D85" s="5">
        <v>409458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1503</v>
      </c>
      <c r="D89" s="3" t="s">
        <v>1248</v>
      </c>
      <c r="E89" s="3" t="s">
        <v>1504</v>
      </c>
      <c r="F89" s="3" t="s">
        <v>1249</v>
      </c>
    </row>
    <row r="90" spans="1:6" x14ac:dyDescent="0.25">
      <c r="A90" s="4" t="s">
        <v>510</v>
      </c>
      <c r="B90" s="5" t="s">
        <v>1343</v>
      </c>
      <c r="C90" s="5">
        <v>29569</v>
      </c>
      <c r="D90" s="5">
        <v>18713</v>
      </c>
      <c r="E90" s="5">
        <v>88347</v>
      </c>
      <c r="F90" s="5">
        <v>89622</v>
      </c>
    </row>
    <row r="91" spans="1:6" x14ac:dyDescent="0.25">
      <c r="A91" s="8" t="s">
        <v>79</v>
      </c>
      <c r="B91" s="9" t="s">
        <v>1348</v>
      </c>
      <c r="C91" s="9" t="s">
        <v>1505</v>
      </c>
      <c r="D91" s="9" t="s">
        <v>1506</v>
      </c>
      <c r="E91" s="9" t="s">
        <v>1507</v>
      </c>
      <c r="F91" s="9" t="s">
        <v>1508</v>
      </c>
    </row>
    <row r="92" spans="1:6" x14ac:dyDescent="0.25">
      <c r="A92" s="4" t="s">
        <v>82</v>
      </c>
      <c r="B92" s="5">
        <v>0</v>
      </c>
      <c r="C92" s="5">
        <v>6866</v>
      </c>
      <c r="D92" s="5" t="s">
        <v>1509</v>
      </c>
      <c r="E92" s="5">
        <v>10246</v>
      </c>
      <c r="F92" s="5">
        <v>3021</v>
      </c>
    </row>
    <row r="93" spans="1:6" x14ac:dyDescent="0.25">
      <c r="A93" s="8" t="s">
        <v>83</v>
      </c>
      <c r="B93" s="9" t="s">
        <v>1510</v>
      </c>
      <c r="C93" s="9" t="s">
        <v>1511</v>
      </c>
      <c r="D93" s="9" t="s">
        <v>1512</v>
      </c>
      <c r="E93" s="9" t="s">
        <v>1513</v>
      </c>
      <c r="F93" s="9" t="s">
        <v>1514</v>
      </c>
    </row>
    <row r="94" spans="1:6" x14ac:dyDescent="0.25">
      <c r="A94" s="6" t="s">
        <v>86</v>
      </c>
      <c r="B94" s="7" t="s">
        <v>1510</v>
      </c>
      <c r="C94" s="7" t="s">
        <v>1515</v>
      </c>
      <c r="D94" s="7" t="s">
        <v>1516</v>
      </c>
      <c r="E94" s="7" t="s">
        <v>1517</v>
      </c>
      <c r="F94" s="7" t="s">
        <v>1518</v>
      </c>
    </row>
    <row r="95" spans="1:6" x14ac:dyDescent="0.25">
      <c r="A95" s="8" t="s">
        <v>90</v>
      </c>
      <c r="B95" s="9" t="s">
        <v>1356</v>
      </c>
      <c r="C95" s="9">
        <v>1365</v>
      </c>
      <c r="D95" s="9">
        <v>349</v>
      </c>
      <c r="E95" s="9">
        <v>2842</v>
      </c>
      <c r="F95" s="9">
        <v>6958</v>
      </c>
    </row>
    <row r="96" spans="1:6" x14ac:dyDescent="0.25">
      <c r="A96" s="6" t="s">
        <v>91</v>
      </c>
      <c r="B96" s="7" t="s">
        <v>1356</v>
      </c>
      <c r="C96" s="7" t="s">
        <v>1519</v>
      </c>
      <c r="D96" s="7" t="s">
        <v>1520</v>
      </c>
      <c r="E96" s="7" t="s">
        <v>1521</v>
      </c>
      <c r="F96" s="7" t="s">
        <v>1522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1523</v>
      </c>
      <c r="D98" s="5" t="s">
        <v>1524</v>
      </c>
      <c r="E98" s="5" t="s">
        <v>1525</v>
      </c>
      <c r="F98" s="5" t="s">
        <v>1526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 t="s">
        <v>1527</v>
      </c>
      <c r="C100" s="7">
        <v>77</v>
      </c>
      <c r="D100" s="7">
        <v>171</v>
      </c>
      <c r="E100" s="7">
        <v>319</v>
      </c>
      <c r="F100" s="7">
        <v>651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 t="s">
        <v>1527</v>
      </c>
      <c r="C102" s="7" t="s">
        <v>1528</v>
      </c>
      <c r="D102" s="7" t="s">
        <v>1529</v>
      </c>
      <c r="E102" s="7" t="s">
        <v>1530</v>
      </c>
      <c r="F102" s="7" t="s">
        <v>1531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 t="s">
        <v>1532</v>
      </c>
      <c r="C105" s="9">
        <v>13086</v>
      </c>
      <c r="D105" s="9" t="s">
        <v>1533</v>
      </c>
      <c r="E105" s="9" t="s">
        <v>1534</v>
      </c>
      <c r="F105" s="9" t="s">
        <v>1535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4309</v>
      </c>
      <c r="D110" s="5" t="s">
        <v>1536</v>
      </c>
      <c r="E110" s="5" t="s">
        <v>1537</v>
      </c>
      <c r="F110" s="5" t="s">
        <v>1538</v>
      </c>
    </row>
    <row r="111" spans="1:6" x14ac:dyDescent="0.25">
      <c r="A111" s="8" t="s">
        <v>530</v>
      </c>
      <c r="B111" s="9" t="s">
        <v>1539</v>
      </c>
      <c r="C111" s="9" t="s">
        <v>1540</v>
      </c>
      <c r="D111" s="9">
        <v>6517</v>
      </c>
      <c r="E111" s="9">
        <v>23692</v>
      </c>
      <c r="F111" s="9">
        <v>11725</v>
      </c>
    </row>
    <row r="112" spans="1:6" x14ac:dyDescent="0.25">
      <c r="A112" s="6" t="s">
        <v>531</v>
      </c>
      <c r="B112" s="7">
        <v>0</v>
      </c>
      <c r="C112" s="7">
        <v>3358</v>
      </c>
      <c r="D112" s="7" t="s">
        <v>1541</v>
      </c>
      <c r="E112" s="7" t="s">
        <v>1542</v>
      </c>
      <c r="F112" s="7" t="s">
        <v>1543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3358</v>
      </c>
      <c r="D114" s="5" t="s">
        <v>1541</v>
      </c>
      <c r="E114" s="5" t="s">
        <v>1542</v>
      </c>
      <c r="F114" s="5" t="s">
        <v>1543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23</v>
      </c>
      <c r="C117" s="9">
        <v>7.2999999999999995E-2</v>
      </c>
      <c r="D117" s="9" t="s">
        <v>1544</v>
      </c>
      <c r="E117" s="9" t="s">
        <v>1545</v>
      </c>
      <c r="F117" s="9" t="s">
        <v>1546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7.2999999999999995E-2</v>
      </c>
      <c r="D119" s="9" t="s">
        <v>1544</v>
      </c>
      <c r="E119" s="9" t="s">
        <v>1545</v>
      </c>
      <c r="F119" s="9" t="s">
        <v>1546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1140</v>
      </c>
      <c r="B134" s="7">
        <v>61450</v>
      </c>
      <c r="C134" s="7">
        <v>0</v>
      </c>
      <c r="D134" s="7">
        <v>0</v>
      </c>
      <c r="E134" s="7">
        <v>0</v>
      </c>
      <c r="F134" s="7">
        <v>3036</v>
      </c>
      <c r="G134" s="7">
        <v>19789</v>
      </c>
      <c r="H134" s="7">
        <v>0</v>
      </c>
      <c r="I134" s="7">
        <v>0</v>
      </c>
      <c r="J134" s="7">
        <v>0</v>
      </c>
      <c r="K134" s="7" t="s">
        <v>1066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 t="s">
        <v>1066</v>
      </c>
      <c r="X134" s="7">
        <v>84125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61450</v>
      </c>
      <c r="C137" s="9">
        <v>0</v>
      </c>
      <c r="D137" s="9">
        <v>0</v>
      </c>
      <c r="E137" s="9">
        <v>0</v>
      </c>
      <c r="F137" s="9">
        <v>3036</v>
      </c>
      <c r="G137" s="9">
        <v>19789</v>
      </c>
      <c r="H137" s="9">
        <v>0</v>
      </c>
      <c r="I137" s="9">
        <v>0</v>
      </c>
      <c r="J137" s="9">
        <v>0</v>
      </c>
      <c r="K137" s="9" t="s">
        <v>1066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 t="s">
        <v>1066</v>
      </c>
      <c r="X137" s="9">
        <v>84125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1543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1543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6048</v>
      </c>
      <c r="J141" s="9">
        <v>0</v>
      </c>
      <c r="K141" s="9">
        <v>150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6198</v>
      </c>
      <c r="X141" s="9">
        <v>6198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1543</v>
      </c>
      <c r="H142" s="7">
        <v>0</v>
      </c>
      <c r="I142" s="7">
        <v>6048</v>
      </c>
      <c r="J142" s="7">
        <v>0</v>
      </c>
      <c r="K142" s="7">
        <v>150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6198</v>
      </c>
      <c r="X142" s="7" t="s">
        <v>1547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 t="s">
        <v>1142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1142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9212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9212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9212</v>
      </c>
      <c r="C156" s="7">
        <v>0</v>
      </c>
      <c r="D156" s="7">
        <v>0</v>
      </c>
      <c r="E156" s="7">
        <v>0</v>
      </c>
      <c r="F156" s="7">
        <v>0</v>
      </c>
      <c r="G156" s="7" t="s">
        <v>1548</v>
      </c>
      <c r="H156" s="7">
        <v>0</v>
      </c>
      <c r="I156" s="7">
        <v>6048</v>
      </c>
      <c r="J156" s="7">
        <v>0</v>
      </c>
      <c r="K156" s="7">
        <v>150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6198</v>
      </c>
      <c r="X156" s="7" t="s">
        <v>1549</v>
      </c>
    </row>
    <row r="157" spans="1:24" x14ac:dyDescent="0.25">
      <c r="A157" s="8" t="s">
        <v>1292</v>
      </c>
      <c r="B157" s="9">
        <v>70662</v>
      </c>
      <c r="C157" s="9">
        <v>0</v>
      </c>
      <c r="D157" s="9">
        <v>0</v>
      </c>
      <c r="E157" s="9">
        <v>0</v>
      </c>
      <c r="F157" s="9">
        <v>3036</v>
      </c>
      <c r="G157" s="9" t="s">
        <v>1340</v>
      </c>
      <c r="H157" s="9">
        <v>0</v>
      </c>
      <c r="I157" s="9">
        <v>6048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6048</v>
      </c>
      <c r="X157" s="9">
        <v>23627</v>
      </c>
    </row>
    <row r="158" spans="1:24" x14ac:dyDescent="0.25">
      <c r="A158" s="6" t="s">
        <v>1365</v>
      </c>
      <c r="B158" s="7">
        <v>70662</v>
      </c>
      <c r="C158" s="7">
        <v>0</v>
      </c>
      <c r="D158" s="7">
        <v>0</v>
      </c>
      <c r="E158" s="7">
        <v>0</v>
      </c>
      <c r="F158" s="7">
        <v>3036</v>
      </c>
      <c r="G158" s="7" t="s">
        <v>1340</v>
      </c>
      <c r="H158" s="7">
        <v>0</v>
      </c>
      <c r="I158" s="7">
        <v>6048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6048</v>
      </c>
      <c r="X158" s="7">
        <v>23627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70662</v>
      </c>
      <c r="C161" s="9">
        <v>0</v>
      </c>
      <c r="D161" s="9">
        <v>0</v>
      </c>
      <c r="E161" s="9">
        <v>0</v>
      </c>
      <c r="F161" s="9">
        <v>3036</v>
      </c>
      <c r="G161" s="9" t="s">
        <v>1340</v>
      </c>
      <c r="H161" s="9">
        <v>0</v>
      </c>
      <c r="I161" s="9">
        <v>6048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6048</v>
      </c>
      <c r="X161" s="9">
        <v>23627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 t="s">
        <v>1542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 t="s">
        <v>1542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48272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48272</v>
      </c>
      <c r="X165" s="9">
        <v>48272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 t="s">
        <v>1542</v>
      </c>
      <c r="H166" s="7">
        <v>0</v>
      </c>
      <c r="I166" s="7">
        <v>48272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48272</v>
      </c>
      <c r="X166" s="7" t="s">
        <v>1550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9872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9872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9872</v>
      </c>
      <c r="C180" s="7">
        <v>0</v>
      </c>
      <c r="D180" s="7">
        <v>0</v>
      </c>
      <c r="E180" s="7">
        <v>0</v>
      </c>
      <c r="F180" s="7">
        <v>0</v>
      </c>
      <c r="G180" s="7" t="s">
        <v>1542</v>
      </c>
      <c r="H180" s="7">
        <v>0</v>
      </c>
      <c r="I180" s="7">
        <v>48272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48272</v>
      </c>
      <c r="X180" s="7">
        <v>1860</v>
      </c>
    </row>
    <row r="181" spans="1:24" x14ac:dyDescent="0.25">
      <c r="A181" s="8" t="s">
        <v>1551</v>
      </c>
      <c r="B181" s="9">
        <v>80534</v>
      </c>
      <c r="C181" s="9">
        <v>0</v>
      </c>
      <c r="D181" s="9">
        <v>0</v>
      </c>
      <c r="E181" s="9">
        <v>0</v>
      </c>
      <c r="F181" s="9">
        <v>3036</v>
      </c>
      <c r="G181" s="9" t="s">
        <v>1502</v>
      </c>
      <c r="H181" s="9">
        <v>0</v>
      </c>
      <c r="I181" s="9">
        <v>54320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54320</v>
      </c>
      <c r="X181" s="9">
        <v>25487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1552</v>
      </c>
      <c r="D185" s="3" t="s">
        <v>1293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91909</v>
      </c>
      <c r="D188" s="7">
        <v>85099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1553</v>
      </c>
      <c r="D194" s="7" t="s">
        <v>1554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1555</v>
      </c>
      <c r="D196" s="7" t="s">
        <v>1556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>
        <v>191</v>
      </c>
      <c r="D198" s="7" t="s">
        <v>1557</v>
      </c>
    </row>
    <row r="199" spans="1:4" x14ac:dyDescent="0.25">
      <c r="A199" s="8" t="s">
        <v>591</v>
      </c>
      <c r="B199" s="9">
        <v>0</v>
      </c>
      <c r="C199" s="9">
        <v>19207</v>
      </c>
      <c r="D199" s="9" t="s">
        <v>1558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 t="s">
        <v>1559</v>
      </c>
      <c r="D204" s="7" t="s">
        <v>1560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14228</v>
      </c>
      <c r="D206" s="5" t="s">
        <v>1561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 t="s">
        <v>1562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 t="s">
        <v>1375</v>
      </c>
      <c r="C229" s="9" t="s">
        <v>1563</v>
      </c>
      <c r="D229" s="9" t="s">
        <v>1564</v>
      </c>
    </row>
    <row r="230" spans="1:4" x14ac:dyDescent="0.25">
      <c r="A230" s="6" t="s">
        <v>224</v>
      </c>
      <c r="B230" s="7" t="s">
        <v>1377</v>
      </c>
      <c r="C230" s="7" t="s">
        <v>1565</v>
      </c>
      <c r="D230" s="7" t="s">
        <v>304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1566</v>
      </c>
      <c r="D234" s="5" t="s">
        <v>1567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4406</v>
      </c>
      <c r="D237" s="9">
        <v>10000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16</v>
      </c>
      <c r="C240" s="7">
        <v>9873</v>
      </c>
      <c r="D240" s="7">
        <v>9212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1568</v>
      </c>
      <c r="D244" s="7" t="s">
        <v>1569</v>
      </c>
    </row>
    <row r="245" spans="1:4" x14ac:dyDescent="0.25">
      <c r="A245" s="8" t="s">
        <v>243</v>
      </c>
      <c r="B245" s="9" t="s">
        <v>1126</v>
      </c>
      <c r="C245" s="9" t="s">
        <v>1570</v>
      </c>
      <c r="D245" s="9" t="s">
        <v>1571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1572</v>
      </c>
      <c r="D250" s="7" t="s">
        <v>1573</v>
      </c>
    </row>
    <row r="251" spans="1:4" x14ac:dyDescent="0.25">
      <c r="A251" s="8" t="s">
        <v>629</v>
      </c>
      <c r="B251" s="9" t="s">
        <v>1574</v>
      </c>
      <c r="C251" s="9">
        <v>0</v>
      </c>
      <c r="D251" s="9" t="s">
        <v>1142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345</v>
      </c>
      <c r="D254" s="5" t="s">
        <v>1575</v>
      </c>
    </row>
    <row r="255" spans="1:4" x14ac:dyDescent="0.25">
      <c r="A255" s="8" t="s">
        <v>250</v>
      </c>
      <c r="B255" s="9">
        <v>0</v>
      </c>
      <c r="C255" s="9" t="s">
        <v>1576</v>
      </c>
      <c r="D255" s="9" t="s">
        <v>1577</v>
      </c>
    </row>
    <row r="256" spans="1:4" x14ac:dyDescent="0.25">
      <c r="A256" s="6" t="s">
        <v>253</v>
      </c>
      <c r="B256" s="7">
        <v>0</v>
      </c>
      <c r="C256" s="7">
        <v>3257</v>
      </c>
      <c r="D256" s="7">
        <v>4596</v>
      </c>
    </row>
    <row r="257" spans="1:6" x14ac:dyDescent="0.25">
      <c r="A257" s="8" t="s">
        <v>254</v>
      </c>
      <c r="B257" s="9">
        <v>0</v>
      </c>
      <c r="C257" s="9" t="s">
        <v>1578</v>
      </c>
      <c r="D257" s="9" t="s">
        <v>1579</v>
      </c>
    </row>
    <row r="258" spans="1:6" x14ac:dyDescent="0.25">
      <c r="A258" s="6" t="s">
        <v>255</v>
      </c>
      <c r="B258" s="7" t="s">
        <v>1322</v>
      </c>
      <c r="C258" s="7">
        <v>18826</v>
      </c>
      <c r="D258" s="7">
        <v>56407</v>
      </c>
    </row>
    <row r="259" spans="1:6" x14ac:dyDescent="0.25">
      <c r="A259" s="4" t="s">
        <v>256</v>
      </c>
      <c r="B259" s="5" t="s">
        <v>1322</v>
      </c>
      <c r="C259" s="5">
        <v>12860</v>
      </c>
      <c r="D259" s="5">
        <v>18826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1503</v>
      </c>
      <c r="D263" s="3" t="s">
        <v>1248</v>
      </c>
      <c r="E263" s="3" t="s">
        <v>1504</v>
      </c>
      <c r="F263" s="3" t="s">
        <v>1249</v>
      </c>
    </row>
    <row r="264" spans="1:6" x14ac:dyDescent="0.25">
      <c r="A264" s="6" t="s">
        <v>258</v>
      </c>
      <c r="B264" s="7">
        <v>0</v>
      </c>
      <c r="C264" s="7">
        <v>3358</v>
      </c>
      <c r="D264" s="7" t="s">
        <v>1541</v>
      </c>
      <c r="E264" s="7" t="s">
        <v>1542</v>
      </c>
      <c r="F264" s="7" t="s">
        <v>1543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 t="s">
        <v>1580</v>
      </c>
      <c r="C267" s="9">
        <v>4401</v>
      </c>
      <c r="D267" s="9">
        <v>6048</v>
      </c>
      <c r="E267" s="9">
        <v>48272</v>
      </c>
      <c r="F267" s="9">
        <v>6048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0</v>
      </c>
      <c r="E269" s="9">
        <v>0</v>
      </c>
      <c r="F269" s="9">
        <v>150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4401</v>
      </c>
      <c r="D272" s="7">
        <v>6048</v>
      </c>
      <c r="E272" s="7">
        <v>48272</v>
      </c>
      <c r="F272" s="7">
        <v>6198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4401</v>
      </c>
      <c r="D303" s="5">
        <v>6048</v>
      </c>
      <c r="E303" s="5">
        <v>48272</v>
      </c>
      <c r="F303" s="5">
        <v>6198</v>
      </c>
    </row>
    <row r="304" spans="1:6" x14ac:dyDescent="0.25">
      <c r="A304" s="4" t="s">
        <v>671</v>
      </c>
      <c r="B304" s="5">
        <v>0</v>
      </c>
      <c r="C304" s="5">
        <v>7759</v>
      </c>
      <c r="D304" s="5" t="s">
        <v>1581</v>
      </c>
      <c r="E304" s="5" t="s">
        <v>1550</v>
      </c>
      <c r="F304" s="5" t="s">
        <v>1547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44603.697592592602</v>
      </c>
    </row>
    <row r="311" spans="1:2" x14ac:dyDescent="0.25">
      <c r="A311" s="8" t="s">
        <v>1387</v>
      </c>
      <c r="B311" s="10">
        <v>44603.696203703701</v>
      </c>
    </row>
    <row r="312" spans="1:2" x14ac:dyDescent="0.25">
      <c r="A312" s="4" t="s">
        <v>278</v>
      </c>
      <c r="B312" s="5"/>
    </row>
    <row r="313" spans="1:2" x14ac:dyDescent="0.25">
      <c r="A313" s="8" t="s">
        <v>1387</v>
      </c>
      <c r="B313" s="10">
        <v>44603.696307870399</v>
      </c>
    </row>
    <row r="314" spans="1:2" x14ac:dyDescent="0.25">
      <c r="A314" s="6" t="s">
        <v>276</v>
      </c>
      <c r="B314" s="11">
        <v>44603.697719907403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44603.697800925896</v>
      </c>
    </row>
    <row r="317" spans="1:2" x14ac:dyDescent="0.25">
      <c r="A317" s="8" t="s">
        <v>1387</v>
      </c>
      <c r="B317" s="10">
        <v>44603.696423611102</v>
      </c>
    </row>
    <row r="318" spans="1:2" x14ac:dyDescent="0.25">
      <c r="A318" s="4" t="s">
        <v>280</v>
      </c>
      <c r="B318" s="5"/>
    </row>
    <row r="319" spans="1:2" x14ac:dyDescent="0.25">
      <c r="A319" s="8" t="s">
        <v>1387</v>
      </c>
      <c r="B319" s="10">
        <v>44603.6965277778</v>
      </c>
    </row>
    <row r="320" spans="1:2" x14ac:dyDescent="0.25">
      <c r="A320" s="6" t="s">
        <v>276</v>
      </c>
      <c r="B320" s="11">
        <v>44603.697905092602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2533-BCF1-42BD-8044-6AA86F6DC6D0}">
  <dimension ref="A1:X320"/>
  <sheetViews>
    <sheetView topLeftCell="A237" workbookViewId="0">
      <selection activeCell="C186" sqref="C186:C259"/>
    </sheetView>
  </sheetViews>
  <sheetFormatPr defaultRowHeight="15" x14ac:dyDescent="0.25"/>
  <cols>
    <col min="1" max="1" width="50.7109375" customWidth="1"/>
    <col min="2" max="2" width="15.140625" customWidth="1"/>
    <col min="3" max="4" width="45.5703125" customWidth="1"/>
    <col min="5" max="6" width="46.8554687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1582</v>
      </c>
    </row>
    <row r="3" spans="1:4" x14ac:dyDescent="0.25">
      <c r="A3" t="s">
        <v>1583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1584</v>
      </c>
      <c r="D9" s="3" t="s">
        <v>1498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 t="s">
        <v>1322</v>
      </c>
      <c r="C12" s="7">
        <v>8359</v>
      </c>
      <c r="D12" s="7">
        <v>13307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15776</v>
      </c>
      <c r="D14" s="7">
        <v>12879</v>
      </c>
    </row>
    <row r="15" spans="1:4" x14ac:dyDescent="0.25">
      <c r="A15" s="8" t="s">
        <v>31</v>
      </c>
      <c r="B15" s="9" t="s">
        <v>1323</v>
      </c>
      <c r="C15" s="9">
        <v>10388</v>
      </c>
      <c r="D15" s="9">
        <v>8426</v>
      </c>
    </row>
    <row r="16" spans="1:4" x14ac:dyDescent="0.25">
      <c r="A16" s="6" t="s">
        <v>18</v>
      </c>
      <c r="B16" s="7" t="s">
        <v>1324</v>
      </c>
      <c r="C16" s="7">
        <v>0</v>
      </c>
      <c r="D16" s="7">
        <v>5</v>
      </c>
    </row>
    <row r="17" spans="1:4" x14ac:dyDescent="0.25">
      <c r="A17" s="8" t="s">
        <v>32</v>
      </c>
      <c r="B17" s="9" t="s">
        <v>1325</v>
      </c>
      <c r="C17" s="9">
        <v>5388</v>
      </c>
      <c r="D17" s="9">
        <v>4448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 t="s">
        <v>1326</v>
      </c>
      <c r="C19" s="9">
        <v>2868</v>
      </c>
      <c r="D19" s="9">
        <v>2695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 t="s">
        <v>1327</v>
      </c>
      <c r="C22" s="7">
        <v>6645</v>
      </c>
      <c r="D22" s="7">
        <v>6387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33648</v>
      </c>
      <c r="D24" s="7">
        <v>35268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33648</v>
      </c>
      <c r="D26" s="5">
        <v>35268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 t="s">
        <v>1328</v>
      </c>
      <c r="C29" s="9">
        <v>49275</v>
      </c>
      <c r="D29" s="9">
        <v>49275</v>
      </c>
    </row>
    <row r="30" spans="1:4" x14ac:dyDescent="0.25">
      <c r="A30" s="6" t="s">
        <v>491</v>
      </c>
      <c r="B30" s="7">
        <v>0</v>
      </c>
      <c r="C30" s="7">
        <v>9022</v>
      </c>
      <c r="D30" s="7">
        <v>9154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 t="s">
        <v>1324</v>
      </c>
      <c r="C32" s="7">
        <v>3262</v>
      </c>
      <c r="D32" s="7">
        <v>3119</v>
      </c>
    </row>
    <row r="33" spans="1:4" x14ac:dyDescent="0.25">
      <c r="A33" s="8" t="s">
        <v>32</v>
      </c>
      <c r="B33" s="9" t="s">
        <v>1325</v>
      </c>
      <c r="C33" s="9">
        <v>5760</v>
      </c>
      <c r="D33" s="9">
        <v>6035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 t="s">
        <v>1329</v>
      </c>
      <c r="C38" s="7">
        <v>197379</v>
      </c>
      <c r="D38" s="7">
        <v>201252</v>
      </c>
    </row>
    <row r="39" spans="1:4" x14ac:dyDescent="0.25">
      <c r="A39" s="8" t="s">
        <v>497</v>
      </c>
      <c r="B39" s="9" t="s">
        <v>1330</v>
      </c>
      <c r="C39" s="9">
        <v>1766</v>
      </c>
      <c r="D39" s="9">
        <v>2009</v>
      </c>
    </row>
    <row r="40" spans="1:4" x14ac:dyDescent="0.25">
      <c r="A40" s="6" t="s">
        <v>498</v>
      </c>
      <c r="B40" s="7" t="s">
        <v>1331</v>
      </c>
      <c r="C40" s="7">
        <v>30546</v>
      </c>
      <c r="D40" s="7">
        <v>30546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1332</v>
      </c>
      <c r="C43" s="9">
        <v>113168</v>
      </c>
      <c r="D43" s="9">
        <v>115924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401156</v>
      </c>
      <c r="D45" s="5">
        <v>408160</v>
      </c>
    </row>
    <row r="46" spans="1:4" x14ac:dyDescent="0.25">
      <c r="A46" s="4" t="s">
        <v>39</v>
      </c>
      <c r="B46" s="5">
        <v>0</v>
      </c>
      <c r="C46" s="5">
        <v>434804</v>
      </c>
      <c r="D46" s="5">
        <v>443428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 t="s">
        <v>1333</v>
      </c>
      <c r="C49" s="9">
        <v>5011</v>
      </c>
      <c r="D49" s="9">
        <v>4322</v>
      </c>
    </row>
    <row r="50" spans="1:4" x14ac:dyDescent="0.25">
      <c r="A50" s="6" t="s">
        <v>501</v>
      </c>
      <c r="B50" s="7">
        <v>0</v>
      </c>
      <c r="C50" s="7">
        <v>29426</v>
      </c>
      <c r="D50" s="7">
        <v>28058</v>
      </c>
    </row>
    <row r="51" spans="1:4" x14ac:dyDescent="0.25">
      <c r="A51" s="8" t="s">
        <v>44</v>
      </c>
      <c r="B51" s="9" t="s">
        <v>1334</v>
      </c>
      <c r="C51" s="9">
        <v>16488</v>
      </c>
      <c r="D51" s="9">
        <v>19302</v>
      </c>
    </row>
    <row r="52" spans="1:4" x14ac:dyDescent="0.25">
      <c r="A52" s="6" t="s">
        <v>46</v>
      </c>
      <c r="B52" s="7" t="s">
        <v>1324</v>
      </c>
      <c r="C52" s="7">
        <v>5</v>
      </c>
      <c r="D52" s="7">
        <v>0</v>
      </c>
    </row>
    <row r="53" spans="1:4" x14ac:dyDescent="0.25">
      <c r="A53" s="8" t="s">
        <v>45</v>
      </c>
      <c r="B53" s="9" t="s">
        <v>1335</v>
      </c>
      <c r="C53" s="9">
        <v>6871</v>
      </c>
      <c r="D53" s="9">
        <v>4615</v>
      </c>
    </row>
    <row r="54" spans="1:4" x14ac:dyDescent="0.25">
      <c r="A54" s="6" t="s">
        <v>56</v>
      </c>
      <c r="B54" s="7" t="s">
        <v>1336</v>
      </c>
      <c r="C54" s="7">
        <v>6062</v>
      </c>
      <c r="D54" s="7">
        <v>4141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1337</v>
      </c>
      <c r="C58" s="7">
        <v>9458</v>
      </c>
      <c r="D58" s="7">
        <v>8644</v>
      </c>
    </row>
    <row r="59" spans="1:4" x14ac:dyDescent="0.25">
      <c r="A59" s="8" t="s">
        <v>504</v>
      </c>
      <c r="B59" s="9">
        <v>0</v>
      </c>
      <c r="C59" s="9">
        <v>43895</v>
      </c>
      <c r="D59" s="9">
        <v>41024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43895</v>
      </c>
      <c r="D61" s="5">
        <v>41024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 t="s">
        <v>1333</v>
      </c>
      <c r="C63" s="9">
        <v>202490</v>
      </c>
      <c r="D63" s="9">
        <v>219708</v>
      </c>
    </row>
    <row r="64" spans="1:4" x14ac:dyDescent="0.25">
      <c r="A64" s="6" t="s">
        <v>501</v>
      </c>
      <c r="B64" s="7">
        <v>0</v>
      </c>
      <c r="C64" s="7">
        <v>2906</v>
      </c>
      <c r="D64" s="7">
        <v>2997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 t="s">
        <v>1324</v>
      </c>
      <c r="C66" s="7">
        <v>2253</v>
      </c>
      <c r="D66" s="7">
        <v>2253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 t="s">
        <v>1338</v>
      </c>
      <c r="C68" s="7">
        <v>653</v>
      </c>
      <c r="D68" s="7">
        <v>744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0</v>
      </c>
      <c r="C71" s="9">
        <v>0</v>
      </c>
      <c r="D71" s="9">
        <v>0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1337</v>
      </c>
      <c r="C73" s="9">
        <v>129747</v>
      </c>
      <c r="D73" s="9">
        <v>143856</v>
      </c>
    </row>
    <row r="74" spans="1:4" x14ac:dyDescent="0.25">
      <c r="A74" s="4" t="s">
        <v>59</v>
      </c>
      <c r="B74" s="5">
        <v>0</v>
      </c>
      <c r="C74" s="5">
        <v>335143</v>
      </c>
      <c r="D74" s="5">
        <v>366561</v>
      </c>
    </row>
    <row r="75" spans="1:4" x14ac:dyDescent="0.25">
      <c r="A75" s="4" t="s">
        <v>60</v>
      </c>
      <c r="B75" s="5">
        <v>0</v>
      </c>
      <c r="C75" s="5">
        <v>379038</v>
      </c>
      <c r="D75" s="5">
        <v>407585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15</v>
      </c>
      <c r="C77" s="9">
        <v>80534</v>
      </c>
      <c r="D77" s="9">
        <v>80534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1585</v>
      </c>
      <c r="D82" s="7" t="s">
        <v>1586</v>
      </c>
    </row>
    <row r="83" spans="1:6" x14ac:dyDescent="0.25">
      <c r="A83" s="8" t="s">
        <v>68</v>
      </c>
      <c r="B83" s="9">
        <v>0</v>
      </c>
      <c r="C83" s="9">
        <v>43964</v>
      </c>
      <c r="D83" s="9">
        <v>43964</v>
      </c>
    </row>
    <row r="84" spans="1:6" x14ac:dyDescent="0.25">
      <c r="A84" s="4" t="s">
        <v>71</v>
      </c>
      <c r="B84" s="5">
        <v>0</v>
      </c>
      <c r="C84" s="5">
        <v>55766</v>
      </c>
      <c r="D84" s="5">
        <v>35843</v>
      </c>
    </row>
    <row r="85" spans="1:6" x14ac:dyDescent="0.25">
      <c r="A85" s="4" t="s">
        <v>72</v>
      </c>
      <c r="B85" s="5">
        <v>0</v>
      </c>
      <c r="C85" s="5">
        <v>434804</v>
      </c>
      <c r="D85" s="5">
        <v>443428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1587</v>
      </c>
      <c r="D89" s="3" t="s">
        <v>1341</v>
      </c>
      <c r="E89" s="3" t="s">
        <v>1588</v>
      </c>
      <c r="F89" s="3" t="s">
        <v>1342</v>
      </c>
    </row>
    <row r="90" spans="1:6" x14ac:dyDescent="0.25">
      <c r="A90" s="4" t="s">
        <v>510</v>
      </c>
      <c r="B90" s="5" t="s">
        <v>1343</v>
      </c>
      <c r="C90" s="5">
        <v>26669</v>
      </c>
      <c r="D90" s="5">
        <v>15407</v>
      </c>
      <c r="E90" s="5">
        <v>26669</v>
      </c>
      <c r="F90" s="5">
        <v>15407</v>
      </c>
    </row>
    <row r="91" spans="1:6" x14ac:dyDescent="0.25">
      <c r="A91" s="8" t="s">
        <v>79</v>
      </c>
      <c r="B91" s="9" t="s">
        <v>1344</v>
      </c>
      <c r="C91" s="9" t="s">
        <v>1589</v>
      </c>
      <c r="D91" s="9" t="s">
        <v>1345</v>
      </c>
      <c r="E91" s="9" t="s">
        <v>1589</v>
      </c>
      <c r="F91" s="9" t="s">
        <v>1345</v>
      </c>
    </row>
    <row r="92" spans="1:6" x14ac:dyDescent="0.25">
      <c r="A92" s="4" t="s">
        <v>82</v>
      </c>
      <c r="B92" s="5">
        <v>0</v>
      </c>
      <c r="C92" s="5">
        <v>4203</v>
      </c>
      <c r="D92" s="5" t="s">
        <v>1347</v>
      </c>
      <c r="E92" s="5">
        <v>4203</v>
      </c>
      <c r="F92" s="5" t="s">
        <v>1347</v>
      </c>
    </row>
    <row r="93" spans="1:6" x14ac:dyDescent="0.25">
      <c r="A93" s="8" t="s">
        <v>83</v>
      </c>
      <c r="B93" s="9" t="s">
        <v>1348</v>
      </c>
      <c r="C93" s="9" t="s">
        <v>1590</v>
      </c>
      <c r="D93" s="9" t="s">
        <v>1349</v>
      </c>
      <c r="E93" s="9" t="s">
        <v>1590</v>
      </c>
      <c r="F93" s="9" t="s">
        <v>1349</v>
      </c>
    </row>
    <row r="94" spans="1:6" x14ac:dyDescent="0.25">
      <c r="A94" s="6" t="s">
        <v>86</v>
      </c>
      <c r="B94" s="7" t="s">
        <v>1348</v>
      </c>
      <c r="C94" s="7" t="s">
        <v>1591</v>
      </c>
      <c r="D94" s="7" t="s">
        <v>1351</v>
      </c>
      <c r="E94" s="7" t="s">
        <v>1591</v>
      </c>
      <c r="F94" s="7" t="s">
        <v>1351</v>
      </c>
    </row>
    <row r="95" spans="1:6" x14ac:dyDescent="0.25">
      <c r="A95" s="8" t="s">
        <v>90</v>
      </c>
      <c r="B95" s="9" t="s">
        <v>1353</v>
      </c>
      <c r="C95" s="9">
        <v>403</v>
      </c>
      <c r="D95" s="9">
        <v>234</v>
      </c>
      <c r="E95" s="9">
        <v>403</v>
      </c>
      <c r="F95" s="9">
        <v>234</v>
      </c>
    </row>
    <row r="96" spans="1:6" x14ac:dyDescent="0.25">
      <c r="A96" s="6" t="s">
        <v>91</v>
      </c>
      <c r="B96" s="7" t="s">
        <v>1353</v>
      </c>
      <c r="C96" s="7" t="s">
        <v>1592</v>
      </c>
      <c r="D96" s="7" t="s">
        <v>1354</v>
      </c>
      <c r="E96" s="7" t="s">
        <v>1592</v>
      </c>
      <c r="F96" s="7" t="s">
        <v>1354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 t="s">
        <v>1593</v>
      </c>
      <c r="D98" s="5" t="s">
        <v>1355</v>
      </c>
      <c r="E98" s="5" t="s">
        <v>1593</v>
      </c>
      <c r="F98" s="5" t="s">
        <v>1355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 t="s">
        <v>1356</v>
      </c>
      <c r="C100" s="7">
        <v>77</v>
      </c>
      <c r="D100" s="7">
        <v>15</v>
      </c>
      <c r="E100" s="7">
        <v>77</v>
      </c>
      <c r="F100" s="7">
        <v>15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 t="s">
        <v>1356</v>
      </c>
      <c r="C102" s="7" t="s">
        <v>1594</v>
      </c>
      <c r="D102" s="7" t="s">
        <v>1357</v>
      </c>
      <c r="E102" s="7" t="s">
        <v>1594</v>
      </c>
      <c r="F102" s="7" t="s">
        <v>1357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 t="s">
        <v>1358</v>
      </c>
      <c r="C105" s="9">
        <v>28341</v>
      </c>
      <c r="D105" s="9" t="s">
        <v>1359</v>
      </c>
      <c r="E105" s="9">
        <v>28341</v>
      </c>
      <c r="F105" s="9" t="s">
        <v>1359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19923</v>
      </c>
      <c r="D110" s="5" t="s">
        <v>1360</v>
      </c>
      <c r="E110" s="5">
        <v>19923</v>
      </c>
      <c r="F110" s="5" t="s">
        <v>1360</v>
      </c>
    </row>
    <row r="111" spans="1:6" x14ac:dyDescent="0.25">
      <c r="A111" s="8" t="s">
        <v>530</v>
      </c>
      <c r="B111" s="9" t="s">
        <v>1361</v>
      </c>
      <c r="C111" s="9">
        <v>0</v>
      </c>
      <c r="D111" s="9">
        <v>7985</v>
      </c>
      <c r="E111" s="9">
        <v>0</v>
      </c>
      <c r="F111" s="9">
        <v>7985</v>
      </c>
    </row>
    <row r="112" spans="1:6" x14ac:dyDescent="0.25">
      <c r="A112" s="6" t="s">
        <v>531</v>
      </c>
      <c r="B112" s="7">
        <v>0</v>
      </c>
      <c r="C112" s="7">
        <v>19923</v>
      </c>
      <c r="D112" s="7" t="s">
        <v>1362</v>
      </c>
      <c r="E112" s="7">
        <v>19923</v>
      </c>
      <c r="F112" s="7" t="s">
        <v>1362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19923</v>
      </c>
      <c r="D114" s="5" t="s">
        <v>1362</v>
      </c>
      <c r="E114" s="5">
        <v>19923</v>
      </c>
      <c r="F114" s="5" t="s">
        <v>1362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0.25</v>
      </c>
      <c r="D117" s="9" t="s">
        <v>1363</v>
      </c>
      <c r="E117" s="9">
        <v>0.25</v>
      </c>
      <c r="F117" s="9" t="s">
        <v>1363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0.25</v>
      </c>
      <c r="D119" s="9" t="s">
        <v>1363</v>
      </c>
      <c r="E119" s="9">
        <v>0.25</v>
      </c>
      <c r="F119" s="9" t="s">
        <v>1363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1365</v>
      </c>
      <c r="B134" s="7">
        <v>70662</v>
      </c>
      <c r="C134" s="7">
        <v>0</v>
      </c>
      <c r="D134" s="7">
        <v>0</v>
      </c>
      <c r="E134" s="7">
        <v>0</v>
      </c>
      <c r="F134" s="7">
        <v>3036</v>
      </c>
      <c r="G134" s="7" t="s">
        <v>1340</v>
      </c>
      <c r="H134" s="7">
        <v>0</v>
      </c>
      <c r="I134" s="7">
        <v>6048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6048</v>
      </c>
      <c r="X134" s="7">
        <v>23627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70662</v>
      </c>
      <c r="C137" s="9">
        <v>0</v>
      </c>
      <c r="D137" s="9">
        <v>0</v>
      </c>
      <c r="E137" s="9">
        <v>0</v>
      </c>
      <c r="F137" s="9">
        <v>3036</v>
      </c>
      <c r="G137" s="9" t="s">
        <v>1340</v>
      </c>
      <c r="H137" s="9">
        <v>0</v>
      </c>
      <c r="I137" s="9">
        <v>6048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6048</v>
      </c>
      <c r="X137" s="9">
        <v>23627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1362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1362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1362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 t="s">
        <v>1362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1362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 t="s">
        <v>1362</v>
      </c>
    </row>
    <row r="157" spans="1:24" x14ac:dyDescent="0.25">
      <c r="A157" s="8" t="s">
        <v>1366</v>
      </c>
      <c r="B157" s="9">
        <v>70662</v>
      </c>
      <c r="C157" s="9">
        <v>0</v>
      </c>
      <c r="D157" s="9">
        <v>0</v>
      </c>
      <c r="E157" s="9">
        <v>0</v>
      </c>
      <c r="F157" s="9">
        <v>3036</v>
      </c>
      <c r="G157" s="9" t="s">
        <v>1339</v>
      </c>
      <c r="H157" s="9">
        <v>0</v>
      </c>
      <c r="I157" s="9">
        <v>6048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6048</v>
      </c>
      <c r="X157" s="9">
        <v>4544</v>
      </c>
    </row>
    <row r="158" spans="1:24" x14ac:dyDescent="0.25">
      <c r="A158" s="6" t="s">
        <v>1595</v>
      </c>
      <c r="B158" s="7">
        <v>80534</v>
      </c>
      <c r="C158" s="7">
        <v>0</v>
      </c>
      <c r="D158" s="7">
        <v>0</v>
      </c>
      <c r="E158" s="7">
        <v>0</v>
      </c>
      <c r="F158" s="7">
        <v>3036</v>
      </c>
      <c r="G158" s="7" t="s">
        <v>1586</v>
      </c>
      <c r="H158" s="7">
        <v>0</v>
      </c>
      <c r="I158" s="7">
        <v>27867</v>
      </c>
      <c r="J158" s="7">
        <v>0</v>
      </c>
      <c r="K158" s="7">
        <v>0</v>
      </c>
      <c r="L158" s="7">
        <v>0</v>
      </c>
      <c r="M158" s="7">
        <v>16097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43964</v>
      </c>
      <c r="X158" s="7">
        <v>35843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80534</v>
      </c>
      <c r="C161" s="9">
        <v>0</v>
      </c>
      <c r="D161" s="9">
        <v>0</v>
      </c>
      <c r="E161" s="9">
        <v>0</v>
      </c>
      <c r="F161" s="9">
        <v>3036</v>
      </c>
      <c r="G161" s="9" t="s">
        <v>1586</v>
      </c>
      <c r="H161" s="9">
        <v>0</v>
      </c>
      <c r="I161" s="9">
        <v>27867</v>
      </c>
      <c r="J161" s="9">
        <v>0</v>
      </c>
      <c r="K161" s="9">
        <v>0</v>
      </c>
      <c r="L161" s="9">
        <v>0</v>
      </c>
      <c r="M161" s="9">
        <v>16097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43964</v>
      </c>
      <c r="X161" s="9">
        <v>35843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19923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19923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19923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19923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19923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19923</v>
      </c>
    </row>
    <row r="181" spans="1:24" x14ac:dyDescent="0.25">
      <c r="A181" s="8" t="s">
        <v>1596</v>
      </c>
      <c r="B181" s="9">
        <v>80534</v>
      </c>
      <c r="C181" s="9">
        <v>0</v>
      </c>
      <c r="D181" s="9">
        <v>0</v>
      </c>
      <c r="E181" s="9">
        <v>0</v>
      </c>
      <c r="F181" s="9">
        <v>3036</v>
      </c>
      <c r="G181" s="9" t="s">
        <v>1585</v>
      </c>
      <c r="H181" s="9">
        <v>0</v>
      </c>
      <c r="I181" s="9">
        <v>27867</v>
      </c>
      <c r="J181" s="9">
        <v>0</v>
      </c>
      <c r="K181" s="9">
        <v>0</v>
      </c>
      <c r="L181" s="9">
        <v>0</v>
      </c>
      <c r="M181" s="9">
        <v>16097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43964</v>
      </c>
      <c r="X181" s="9">
        <v>55766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1597</v>
      </c>
      <c r="D185" s="3" t="s">
        <v>1367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24797</v>
      </c>
      <c r="D188" s="7">
        <v>19774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1598</v>
      </c>
      <c r="D194" s="7" t="s">
        <v>1368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1599</v>
      </c>
      <c r="D196" s="7" t="s">
        <v>1369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>
        <v>0</v>
      </c>
      <c r="D198" s="7" t="s">
        <v>1370</v>
      </c>
    </row>
    <row r="199" spans="1:4" x14ac:dyDescent="0.25">
      <c r="A199" s="8" t="s">
        <v>591</v>
      </c>
      <c r="B199" s="9">
        <v>0</v>
      </c>
      <c r="C199" s="9">
        <v>3133</v>
      </c>
      <c r="D199" s="9" t="s">
        <v>787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 t="s">
        <v>334</v>
      </c>
      <c r="D204" s="7" t="s">
        <v>1371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1357</v>
      </c>
      <c r="D206" s="5" t="s">
        <v>1372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1600</v>
      </c>
      <c r="D229" s="9" t="s">
        <v>1376</v>
      </c>
    </row>
    <row r="230" spans="1:4" x14ac:dyDescent="0.25">
      <c r="A230" s="6" t="s">
        <v>224</v>
      </c>
      <c r="B230" s="7">
        <v>0</v>
      </c>
      <c r="C230" s="7">
        <v>0</v>
      </c>
      <c r="D230" s="7" t="s">
        <v>1378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1600</v>
      </c>
      <c r="D234" s="5" t="s">
        <v>1379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0</v>
      </c>
      <c r="D237" s="9">
        <v>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1601</v>
      </c>
      <c r="D244" s="7" t="s">
        <v>1380</v>
      </c>
    </row>
    <row r="245" spans="1:4" x14ac:dyDescent="0.25">
      <c r="A245" s="8" t="s">
        <v>243</v>
      </c>
      <c r="B245" s="9">
        <v>0</v>
      </c>
      <c r="C245" s="9" t="s">
        <v>1602</v>
      </c>
      <c r="D245" s="9" t="s">
        <v>1381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1603</v>
      </c>
      <c r="D250" s="7" t="s">
        <v>1382</v>
      </c>
    </row>
    <row r="251" spans="1:4" x14ac:dyDescent="0.25">
      <c r="A251" s="8" t="s">
        <v>629</v>
      </c>
      <c r="B251" s="9">
        <v>0</v>
      </c>
      <c r="C251" s="9">
        <v>0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1604</v>
      </c>
      <c r="D254" s="5" t="s">
        <v>1384</v>
      </c>
    </row>
    <row r="255" spans="1:4" x14ac:dyDescent="0.25">
      <c r="A255" s="8" t="s">
        <v>250</v>
      </c>
      <c r="B255" s="9">
        <v>0</v>
      </c>
      <c r="C255" s="9" t="s">
        <v>1605</v>
      </c>
      <c r="D255" s="9" t="s">
        <v>1385</v>
      </c>
    </row>
    <row r="256" spans="1:4" x14ac:dyDescent="0.25">
      <c r="A256" s="6" t="s">
        <v>253</v>
      </c>
      <c r="B256" s="7">
        <v>0</v>
      </c>
      <c r="C256" s="7">
        <v>2488</v>
      </c>
      <c r="D256" s="7">
        <v>5193</v>
      </c>
    </row>
    <row r="257" spans="1:6" x14ac:dyDescent="0.25">
      <c r="A257" s="8" t="s">
        <v>254</v>
      </c>
      <c r="B257" s="9">
        <v>0</v>
      </c>
      <c r="C257" s="9" t="s">
        <v>1606</v>
      </c>
      <c r="D257" s="9" t="s">
        <v>1386</v>
      </c>
    </row>
    <row r="258" spans="1:6" x14ac:dyDescent="0.25">
      <c r="A258" s="6" t="s">
        <v>255</v>
      </c>
      <c r="B258" s="7" t="s">
        <v>1322</v>
      </c>
      <c r="C258" s="7">
        <v>13307</v>
      </c>
      <c r="D258" s="7">
        <v>18826</v>
      </c>
    </row>
    <row r="259" spans="1:6" x14ac:dyDescent="0.25">
      <c r="A259" s="4" t="s">
        <v>256</v>
      </c>
      <c r="B259" s="5" t="s">
        <v>1322</v>
      </c>
      <c r="C259" s="5">
        <v>8359</v>
      </c>
      <c r="D259" s="5">
        <v>13086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1587</v>
      </c>
      <c r="D263" s="3" t="s">
        <v>1341</v>
      </c>
      <c r="E263" s="3" t="s">
        <v>1588</v>
      </c>
      <c r="F263" s="3" t="s">
        <v>1342</v>
      </c>
    </row>
    <row r="264" spans="1:6" x14ac:dyDescent="0.25">
      <c r="A264" s="6" t="s">
        <v>258</v>
      </c>
      <c r="B264" s="7">
        <v>0</v>
      </c>
      <c r="C264" s="7">
        <v>19923</v>
      </c>
      <c r="D264" s="7" t="s">
        <v>1362</v>
      </c>
      <c r="E264" s="7">
        <v>19923</v>
      </c>
      <c r="F264" s="7" t="s">
        <v>1362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</row>
    <row r="304" spans="1:6" x14ac:dyDescent="0.25">
      <c r="A304" s="4" t="s">
        <v>671</v>
      </c>
      <c r="B304" s="5">
        <v>0</v>
      </c>
      <c r="C304" s="5">
        <v>19923</v>
      </c>
      <c r="D304" s="5" t="s">
        <v>1362</v>
      </c>
      <c r="E304" s="5">
        <v>19923</v>
      </c>
      <c r="F304" s="5" t="s">
        <v>1362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44684.559016203697</v>
      </c>
    </row>
    <row r="311" spans="1:2" x14ac:dyDescent="0.25">
      <c r="A311" s="8" t="s">
        <v>1387</v>
      </c>
      <c r="B311" s="10">
        <v>44684.557824074102</v>
      </c>
    </row>
    <row r="312" spans="1:2" x14ac:dyDescent="0.25">
      <c r="A312" s="4" t="s">
        <v>278</v>
      </c>
      <c r="B312" s="5"/>
    </row>
    <row r="313" spans="1:2" x14ac:dyDescent="0.25">
      <c r="A313" s="8" t="s">
        <v>1387</v>
      </c>
      <c r="B313" s="10">
        <v>44684.557303240697</v>
      </c>
    </row>
    <row r="314" spans="1:2" x14ac:dyDescent="0.25">
      <c r="A314" s="6" t="s">
        <v>276</v>
      </c>
      <c r="B314" s="11">
        <v>44684.558541666702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44684.559282407397</v>
      </c>
    </row>
    <row r="317" spans="1:2" x14ac:dyDescent="0.25">
      <c r="A317" s="8" t="s">
        <v>1387</v>
      </c>
      <c r="B317" s="10">
        <v>44684.558009259301</v>
      </c>
    </row>
    <row r="318" spans="1:2" x14ac:dyDescent="0.25">
      <c r="A318" s="4" t="s">
        <v>280</v>
      </c>
      <c r="B318" s="5"/>
    </row>
    <row r="319" spans="1:2" x14ac:dyDescent="0.25">
      <c r="A319" s="8" t="s">
        <v>1387</v>
      </c>
      <c r="B319" s="10">
        <v>44684.558125000003</v>
      </c>
    </row>
    <row r="320" spans="1:2" x14ac:dyDescent="0.25">
      <c r="A320" s="6" t="s">
        <v>276</v>
      </c>
      <c r="B320" s="11">
        <v>44684.559386574103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ED23-552F-4FAF-AC13-54BFBC3751C0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5.140625" customWidth="1"/>
    <col min="3" max="4" width="43.7109375" customWidth="1"/>
    <col min="5" max="6" width="46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1607</v>
      </c>
    </row>
    <row r="3" spans="1:4" x14ac:dyDescent="0.25">
      <c r="A3" t="s">
        <v>1583</v>
      </c>
    </row>
    <row r="4" spans="1:4" x14ac:dyDescent="0.25">
      <c r="A4" t="s">
        <v>282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1608</v>
      </c>
      <c r="D9" s="3" t="s">
        <v>1498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 t="s">
        <v>1322</v>
      </c>
      <c r="C12" s="7">
        <v>6477</v>
      </c>
      <c r="D12" s="7">
        <v>13307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24685</v>
      </c>
      <c r="D14" s="7">
        <v>12879</v>
      </c>
    </row>
    <row r="15" spans="1:4" x14ac:dyDescent="0.25">
      <c r="A15" s="8" t="s">
        <v>31</v>
      </c>
      <c r="B15" s="9" t="s">
        <v>1323</v>
      </c>
      <c r="C15" s="9">
        <v>19483</v>
      </c>
      <c r="D15" s="9">
        <v>8426</v>
      </c>
    </row>
    <row r="16" spans="1:4" x14ac:dyDescent="0.25">
      <c r="A16" s="6" t="s">
        <v>18</v>
      </c>
      <c r="B16" s="7" t="s">
        <v>1324</v>
      </c>
      <c r="C16" s="7">
        <v>0</v>
      </c>
      <c r="D16" s="7">
        <v>5</v>
      </c>
    </row>
    <row r="17" spans="1:4" x14ac:dyDescent="0.25">
      <c r="A17" s="8" t="s">
        <v>32</v>
      </c>
      <c r="B17" s="9" t="s">
        <v>1325</v>
      </c>
      <c r="C17" s="9">
        <v>5202</v>
      </c>
      <c r="D17" s="9">
        <v>4448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 t="s">
        <v>1326</v>
      </c>
      <c r="C19" s="9">
        <v>2808</v>
      </c>
      <c r="D19" s="9">
        <v>2695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 t="s">
        <v>1327</v>
      </c>
      <c r="C22" s="7">
        <v>8215</v>
      </c>
      <c r="D22" s="7">
        <v>6387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42185</v>
      </c>
      <c r="D24" s="7">
        <v>35268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42185</v>
      </c>
      <c r="D26" s="5">
        <v>35268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 t="s">
        <v>1328</v>
      </c>
      <c r="C29" s="9">
        <v>49275</v>
      </c>
      <c r="D29" s="9">
        <v>49275</v>
      </c>
    </row>
    <row r="30" spans="1:4" x14ac:dyDescent="0.25">
      <c r="A30" s="6" t="s">
        <v>491</v>
      </c>
      <c r="B30" s="7">
        <v>0</v>
      </c>
      <c r="C30" s="7">
        <v>9621</v>
      </c>
      <c r="D30" s="7">
        <v>9154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 t="s">
        <v>1324</v>
      </c>
      <c r="C32" s="7">
        <v>3662</v>
      </c>
      <c r="D32" s="7">
        <v>3119</v>
      </c>
    </row>
    <row r="33" spans="1:4" x14ac:dyDescent="0.25">
      <c r="A33" s="8" t="s">
        <v>32</v>
      </c>
      <c r="B33" s="9" t="s">
        <v>1325</v>
      </c>
      <c r="C33" s="9">
        <v>5959</v>
      </c>
      <c r="D33" s="9">
        <v>6035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 t="s">
        <v>1329</v>
      </c>
      <c r="C38" s="7">
        <v>191453</v>
      </c>
      <c r="D38" s="7">
        <v>201252</v>
      </c>
    </row>
    <row r="39" spans="1:4" x14ac:dyDescent="0.25">
      <c r="A39" s="8" t="s">
        <v>497</v>
      </c>
      <c r="B39" s="9" t="s">
        <v>1330</v>
      </c>
      <c r="C39" s="9">
        <v>8657</v>
      </c>
      <c r="D39" s="9">
        <v>2009</v>
      </c>
    </row>
    <row r="40" spans="1:4" x14ac:dyDescent="0.25">
      <c r="A40" s="6" t="s">
        <v>498</v>
      </c>
      <c r="B40" s="7" t="s">
        <v>1331</v>
      </c>
      <c r="C40" s="7">
        <v>30546</v>
      </c>
      <c r="D40" s="7">
        <v>30546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1332</v>
      </c>
      <c r="C43" s="9">
        <v>110452</v>
      </c>
      <c r="D43" s="9">
        <v>115924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400004</v>
      </c>
      <c r="D45" s="5">
        <v>408160</v>
      </c>
    </row>
    <row r="46" spans="1:4" x14ac:dyDescent="0.25">
      <c r="A46" s="4" t="s">
        <v>39</v>
      </c>
      <c r="B46" s="5">
        <v>0</v>
      </c>
      <c r="C46" s="5">
        <v>442189</v>
      </c>
      <c r="D46" s="5">
        <v>443428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 t="s">
        <v>1333</v>
      </c>
      <c r="C49" s="9">
        <v>5733</v>
      </c>
      <c r="D49" s="9">
        <v>4322</v>
      </c>
    </row>
    <row r="50" spans="1:4" x14ac:dyDescent="0.25">
      <c r="A50" s="6" t="s">
        <v>501</v>
      </c>
      <c r="B50" s="7">
        <v>0</v>
      </c>
      <c r="C50" s="7">
        <v>44723</v>
      </c>
      <c r="D50" s="7">
        <v>28058</v>
      </c>
    </row>
    <row r="51" spans="1:4" x14ac:dyDescent="0.25">
      <c r="A51" s="8" t="s">
        <v>44</v>
      </c>
      <c r="B51" s="9" t="s">
        <v>1334</v>
      </c>
      <c r="C51" s="9">
        <v>28133</v>
      </c>
      <c r="D51" s="9">
        <v>19302</v>
      </c>
    </row>
    <row r="52" spans="1:4" x14ac:dyDescent="0.25">
      <c r="A52" s="6" t="s">
        <v>46</v>
      </c>
      <c r="B52" s="7" t="s">
        <v>1324</v>
      </c>
      <c r="C52" s="7">
        <v>4</v>
      </c>
      <c r="D52" s="7">
        <v>0</v>
      </c>
    </row>
    <row r="53" spans="1:4" x14ac:dyDescent="0.25">
      <c r="A53" s="8" t="s">
        <v>45</v>
      </c>
      <c r="B53" s="9" t="s">
        <v>1335</v>
      </c>
      <c r="C53" s="9">
        <v>8477</v>
      </c>
      <c r="D53" s="9">
        <v>4615</v>
      </c>
    </row>
    <row r="54" spans="1:4" x14ac:dyDescent="0.25">
      <c r="A54" s="6" t="s">
        <v>56</v>
      </c>
      <c r="B54" s="7" t="s">
        <v>1336</v>
      </c>
      <c r="C54" s="7">
        <v>8109</v>
      </c>
      <c r="D54" s="7">
        <v>4141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1337</v>
      </c>
      <c r="C58" s="7">
        <v>9841</v>
      </c>
      <c r="D58" s="7">
        <v>8644</v>
      </c>
    </row>
    <row r="59" spans="1:4" x14ac:dyDescent="0.25">
      <c r="A59" s="8" t="s">
        <v>504</v>
      </c>
      <c r="B59" s="9">
        <v>0</v>
      </c>
      <c r="C59" s="9">
        <v>60297</v>
      </c>
      <c r="D59" s="9">
        <v>41024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60297</v>
      </c>
      <c r="D61" s="5">
        <v>41024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 t="s">
        <v>1333</v>
      </c>
      <c r="C63" s="9">
        <v>207880</v>
      </c>
      <c r="D63" s="9">
        <v>219708</v>
      </c>
    </row>
    <row r="64" spans="1:4" x14ac:dyDescent="0.25">
      <c r="A64" s="6" t="s">
        <v>501</v>
      </c>
      <c r="B64" s="7">
        <v>0</v>
      </c>
      <c r="C64" s="7">
        <v>2814</v>
      </c>
      <c r="D64" s="7">
        <v>2997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 t="s">
        <v>1324</v>
      </c>
      <c r="C66" s="7">
        <v>2253</v>
      </c>
      <c r="D66" s="7">
        <v>2253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 t="s">
        <v>1338</v>
      </c>
      <c r="C68" s="7">
        <v>561</v>
      </c>
      <c r="D68" s="7">
        <v>744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0</v>
      </c>
      <c r="C71" s="9">
        <v>0</v>
      </c>
      <c r="D71" s="9">
        <v>0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1337</v>
      </c>
      <c r="C73" s="9">
        <v>132029</v>
      </c>
      <c r="D73" s="9">
        <v>143856</v>
      </c>
    </row>
    <row r="74" spans="1:4" x14ac:dyDescent="0.25">
      <c r="A74" s="4" t="s">
        <v>59</v>
      </c>
      <c r="B74" s="5">
        <v>0</v>
      </c>
      <c r="C74" s="5">
        <v>342723</v>
      </c>
      <c r="D74" s="5">
        <v>366561</v>
      </c>
    </row>
    <row r="75" spans="1:4" x14ac:dyDescent="0.25">
      <c r="A75" s="4" t="s">
        <v>60</v>
      </c>
      <c r="B75" s="5">
        <v>0</v>
      </c>
      <c r="C75" s="5">
        <v>403020</v>
      </c>
      <c r="D75" s="5">
        <v>407585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15</v>
      </c>
      <c r="C77" s="9">
        <v>80534</v>
      </c>
      <c r="D77" s="9">
        <v>80534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1609</v>
      </c>
      <c r="D82" s="7" t="s">
        <v>1586</v>
      </c>
    </row>
    <row r="83" spans="1:6" x14ac:dyDescent="0.25">
      <c r="A83" s="8" t="s">
        <v>68</v>
      </c>
      <c r="B83" s="9">
        <v>0</v>
      </c>
      <c r="C83" s="9">
        <v>43964</v>
      </c>
      <c r="D83" s="9">
        <v>43964</v>
      </c>
    </row>
    <row r="84" spans="1:6" x14ac:dyDescent="0.25">
      <c r="A84" s="4" t="s">
        <v>71</v>
      </c>
      <c r="B84" s="5">
        <v>0</v>
      </c>
      <c r="C84" s="5">
        <v>39169</v>
      </c>
      <c r="D84" s="5">
        <v>35843</v>
      </c>
    </row>
    <row r="85" spans="1:6" x14ac:dyDescent="0.25">
      <c r="A85" s="4" t="s">
        <v>72</v>
      </c>
      <c r="B85" s="5">
        <v>0</v>
      </c>
      <c r="C85" s="5">
        <v>442189</v>
      </c>
      <c r="D85" s="5">
        <v>443428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1610</v>
      </c>
      <c r="D89" s="3" t="s">
        <v>1391</v>
      </c>
      <c r="E89" s="3" t="s">
        <v>1611</v>
      </c>
      <c r="F89" s="3" t="s">
        <v>1392</v>
      </c>
    </row>
    <row r="90" spans="1:6" x14ac:dyDescent="0.25">
      <c r="A90" s="4" t="s">
        <v>510</v>
      </c>
      <c r="B90" s="5" t="s">
        <v>1343</v>
      </c>
      <c r="C90" s="5">
        <v>37701</v>
      </c>
      <c r="D90" s="5">
        <v>17659</v>
      </c>
      <c r="E90" s="5">
        <v>64370</v>
      </c>
      <c r="F90" s="5">
        <v>33066</v>
      </c>
    </row>
    <row r="91" spans="1:6" x14ac:dyDescent="0.25">
      <c r="A91" s="8" t="s">
        <v>79</v>
      </c>
      <c r="B91" s="9" t="s">
        <v>1344</v>
      </c>
      <c r="C91" s="9" t="s">
        <v>1612</v>
      </c>
      <c r="D91" s="9" t="s">
        <v>1393</v>
      </c>
      <c r="E91" s="9" t="s">
        <v>1613</v>
      </c>
      <c r="F91" s="9" t="s">
        <v>1395</v>
      </c>
    </row>
    <row r="92" spans="1:6" x14ac:dyDescent="0.25">
      <c r="A92" s="4" t="s">
        <v>82</v>
      </c>
      <c r="B92" s="5">
        <v>0</v>
      </c>
      <c r="C92" s="5">
        <v>11002</v>
      </c>
      <c r="D92" s="5" t="s">
        <v>1397</v>
      </c>
      <c r="E92" s="5">
        <v>15205</v>
      </c>
      <c r="F92" s="5" t="s">
        <v>1399</v>
      </c>
    </row>
    <row r="93" spans="1:6" x14ac:dyDescent="0.25">
      <c r="A93" s="8" t="s">
        <v>83</v>
      </c>
      <c r="B93" s="9" t="s">
        <v>1348</v>
      </c>
      <c r="C93" s="9" t="s">
        <v>1614</v>
      </c>
      <c r="D93" s="9" t="s">
        <v>1400</v>
      </c>
      <c r="E93" s="9" t="s">
        <v>1615</v>
      </c>
      <c r="F93" s="9" t="s">
        <v>1402</v>
      </c>
    </row>
    <row r="94" spans="1:6" x14ac:dyDescent="0.25">
      <c r="A94" s="6" t="s">
        <v>86</v>
      </c>
      <c r="B94" s="7" t="s">
        <v>1348</v>
      </c>
      <c r="C94" s="7" t="s">
        <v>1616</v>
      </c>
      <c r="D94" s="7" t="s">
        <v>1404</v>
      </c>
      <c r="E94" s="7" t="s">
        <v>1617</v>
      </c>
      <c r="F94" s="7" t="s">
        <v>1406</v>
      </c>
    </row>
    <row r="95" spans="1:6" x14ac:dyDescent="0.25">
      <c r="A95" s="8" t="s">
        <v>90</v>
      </c>
      <c r="B95" s="9" t="s">
        <v>1353</v>
      </c>
      <c r="C95" s="9">
        <v>309</v>
      </c>
      <c r="D95" s="9">
        <v>766</v>
      </c>
      <c r="E95" s="9">
        <v>712</v>
      </c>
      <c r="F95" s="9">
        <v>1000</v>
      </c>
    </row>
    <row r="96" spans="1:6" x14ac:dyDescent="0.25">
      <c r="A96" s="6" t="s">
        <v>91</v>
      </c>
      <c r="B96" s="7" t="s">
        <v>1353</v>
      </c>
      <c r="C96" s="7" t="s">
        <v>1618</v>
      </c>
      <c r="D96" s="7" t="s">
        <v>1408</v>
      </c>
      <c r="E96" s="7" t="s">
        <v>1619</v>
      </c>
      <c r="F96" s="7" t="s">
        <v>1409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1709</v>
      </c>
      <c r="D98" s="5" t="s">
        <v>1410</v>
      </c>
      <c r="E98" s="5" t="s">
        <v>1620</v>
      </c>
      <c r="F98" s="5" t="s">
        <v>1412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 t="s">
        <v>1356</v>
      </c>
      <c r="C100" s="7">
        <v>90</v>
      </c>
      <c r="D100" s="7">
        <v>140</v>
      </c>
      <c r="E100" s="7">
        <v>167</v>
      </c>
      <c r="F100" s="7">
        <v>155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 t="s">
        <v>1356</v>
      </c>
      <c r="C102" s="7" t="s">
        <v>1621</v>
      </c>
      <c r="D102" s="7" t="s">
        <v>1414</v>
      </c>
      <c r="E102" s="7" t="s">
        <v>1622</v>
      </c>
      <c r="F102" s="7" t="s">
        <v>1415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 t="s">
        <v>1358</v>
      </c>
      <c r="C105" s="9" t="s">
        <v>1623</v>
      </c>
      <c r="D105" s="9" t="s">
        <v>1416</v>
      </c>
      <c r="E105" s="9">
        <v>16133</v>
      </c>
      <c r="F105" s="9" t="s">
        <v>1418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1624</v>
      </c>
      <c r="D110" s="5" t="s">
        <v>1420</v>
      </c>
      <c r="E110" s="5">
        <v>3326</v>
      </c>
      <c r="F110" s="5" t="s">
        <v>1421</v>
      </c>
    </row>
    <row r="111" spans="1:6" x14ac:dyDescent="0.25">
      <c r="A111" s="8" t="s">
        <v>530</v>
      </c>
      <c r="B111" s="9" t="s">
        <v>1361</v>
      </c>
      <c r="C111" s="9">
        <v>0</v>
      </c>
      <c r="D111" s="9">
        <v>6914</v>
      </c>
      <c r="E111" s="9">
        <v>0</v>
      </c>
      <c r="F111" s="9">
        <v>14899</v>
      </c>
    </row>
    <row r="112" spans="1:6" x14ac:dyDescent="0.25">
      <c r="A112" s="6" t="s">
        <v>531</v>
      </c>
      <c r="B112" s="7">
        <v>0</v>
      </c>
      <c r="C112" s="7" t="s">
        <v>1624</v>
      </c>
      <c r="D112" s="7" t="s">
        <v>1422</v>
      </c>
      <c r="E112" s="7">
        <v>3326</v>
      </c>
      <c r="F112" s="7" t="s">
        <v>1423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1624</v>
      </c>
      <c r="D114" s="5" t="s">
        <v>1422</v>
      </c>
      <c r="E114" s="5">
        <v>3326</v>
      </c>
      <c r="F114" s="5" t="s">
        <v>1423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 t="s">
        <v>1625</v>
      </c>
      <c r="D117" s="9" t="s">
        <v>1424</v>
      </c>
      <c r="E117" s="9">
        <v>0.05</v>
      </c>
      <c r="F117" s="9" t="s">
        <v>1426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1625</v>
      </c>
      <c r="D119" s="9" t="s">
        <v>1424</v>
      </c>
      <c r="E119" s="9">
        <v>0.05</v>
      </c>
      <c r="F119" s="9" t="s">
        <v>1426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1365</v>
      </c>
      <c r="B134" s="7">
        <v>70662</v>
      </c>
      <c r="C134" s="7">
        <v>0</v>
      </c>
      <c r="D134" s="7">
        <v>0</v>
      </c>
      <c r="E134" s="7">
        <v>0</v>
      </c>
      <c r="F134" s="7">
        <v>3036</v>
      </c>
      <c r="G134" s="7" t="s">
        <v>1340</v>
      </c>
      <c r="H134" s="7">
        <v>0</v>
      </c>
      <c r="I134" s="7">
        <v>6048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6048</v>
      </c>
      <c r="X134" s="7">
        <v>23627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70662</v>
      </c>
      <c r="C137" s="9">
        <v>0</v>
      </c>
      <c r="D137" s="9">
        <v>0</v>
      </c>
      <c r="E137" s="9">
        <v>0</v>
      </c>
      <c r="F137" s="9">
        <v>3036</v>
      </c>
      <c r="G137" s="9" t="s">
        <v>1340</v>
      </c>
      <c r="H137" s="9">
        <v>0</v>
      </c>
      <c r="I137" s="9">
        <v>6048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6048</v>
      </c>
      <c r="X137" s="9">
        <v>23627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1423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1423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18188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18188</v>
      </c>
      <c r="X141" s="9">
        <v>18188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1423</v>
      </c>
      <c r="H142" s="7">
        <v>0</v>
      </c>
      <c r="I142" s="7">
        <v>18188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18188</v>
      </c>
      <c r="X142" s="7" t="s">
        <v>1427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1423</v>
      </c>
      <c r="H156" s="7">
        <v>0</v>
      </c>
      <c r="I156" s="7">
        <v>18188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18188</v>
      </c>
      <c r="X156" s="7" t="s">
        <v>1427</v>
      </c>
    </row>
    <row r="157" spans="1:24" x14ac:dyDescent="0.25">
      <c r="A157" s="8" t="s">
        <v>1428</v>
      </c>
      <c r="B157" s="9">
        <v>70662</v>
      </c>
      <c r="C157" s="9">
        <v>0</v>
      </c>
      <c r="D157" s="9">
        <v>0</v>
      </c>
      <c r="E157" s="9">
        <v>0</v>
      </c>
      <c r="F157" s="9">
        <v>3036</v>
      </c>
      <c r="G157" s="9" t="s">
        <v>1390</v>
      </c>
      <c r="H157" s="9">
        <v>0</v>
      </c>
      <c r="I157" s="9">
        <v>24236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24236</v>
      </c>
      <c r="X157" s="9">
        <v>6208</v>
      </c>
    </row>
    <row r="158" spans="1:24" x14ac:dyDescent="0.25">
      <c r="A158" s="6" t="s">
        <v>1595</v>
      </c>
      <c r="B158" s="7">
        <v>80534</v>
      </c>
      <c r="C158" s="7">
        <v>0</v>
      </c>
      <c r="D158" s="7">
        <v>0</v>
      </c>
      <c r="E158" s="7">
        <v>0</v>
      </c>
      <c r="F158" s="7">
        <v>3036</v>
      </c>
      <c r="G158" s="7" t="s">
        <v>1586</v>
      </c>
      <c r="H158" s="7">
        <v>0</v>
      </c>
      <c r="I158" s="7">
        <v>27867</v>
      </c>
      <c r="J158" s="7">
        <v>0</v>
      </c>
      <c r="K158" s="7">
        <v>0</v>
      </c>
      <c r="L158" s="7">
        <v>0</v>
      </c>
      <c r="M158" s="7">
        <v>16097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43964</v>
      </c>
      <c r="X158" s="7">
        <v>35843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80534</v>
      </c>
      <c r="C161" s="9">
        <v>0</v>
      </c>
      <c r="D161" s="9">
        <v>0</v>
      </c>
      <c r="E161" s="9">
        <v>0</v>
      </c>
      <c r="F161" s="9">
        <v>3036</v>
      </c>
      <c r="G161" s="9" t="s">
        <v>1586</v>
      </c>
      <c r="H161" s="9">
        <v>0</v>
      </c>
      <c r="I161" s="9">
        <v>27867</v>
      </c>
      <c r="J161" s="9">
        <v>0</v>
      </c>
      <c r="K161" s="9">
        <v>0</v>
      </c>
      <c r="L161" s="9">
        <v>0</v>
      </c>
      <c r="M161" s="9">
        <v>16097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43964</v>
      </c>
      <c r="X161" s="9">
        <v>35843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3326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3326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3326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3326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3326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3326</v>
      </c>
    </row>
    <row r="181" spans="1:24" x14ac:dyDescent="0.25">
      <c r="A181" s="8" t="s">
        <v>1626</v>
      </c>
      <c r="B181" s="9">
        <v>80534</v>
      </c>
      <c r="C181" s="9">
        <v>0</v>
      </c>
      <c r="D181" s="9">
        <v>0</v>
      </c>
      <c r="E181" s="9">
        <v>0</v>
      </c>
      <c r="F181" s="9">
        <v>3036</v>
      </c>
      <c r="G181" s="9" t="s">
        <v>1609</v>
      </c>
      <c r="H181" s="9">
        <v>0</v>
      </c>
      <c r="I181" s="9">
        <v>27867</v>
      </c>
      <c r="J181" s="9">
        <v>0</v>
      </c>
      <c r="K181" s="9">
        <v>0</v>
      </c>
      <c r="L181" s="9">
        <v>0</v>
      </c>
      <c r="M181" s="9">
        <v>16097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43964</v>
      </c>
      <c r="X181" s="9">
        <v>39169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1627</v>
      </c>
      <c r="D185" s="3" t="s">
        <v>1429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53496</v>
      </c>
      <c r="D188" s="7">
        <v>38526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1628</v>
      </c>
      <c r="D194" s="7" t="s">
        <v>1430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1629</v>
      </c>
      <c r="D196" s="7" t="s">
        <v>1431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>
        <v>0</v>
      </c>
      <c r="D198" s="7" t="s">
        <v>1432</v>
      </c>
    </row>
    <row r="199" spans="1:4" x14ac:dyDescent="0.25">
      <c r="A199" s="8" t="s">
        <v>591</v>
      </c>
      <c r="B199" s="9">
        <v>0</v>
      </c>
      <c r="C199" s="9">
        <v>16511</v>
      </c>
      <c r="D199" s="9">
        <v>2928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 t="s">
        <v>1630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13217</v>
      </c>
      <c r="D206" s="5">
        <v>2928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>
        <v>0</v>
      </c>
      <c r="C229" s="9" t="s">
        <v>1631</v>
      </c>
      <c r="D229" s="9" t="s">
        <v>1433</v>
      </c>
    </row>
    <row r="230" spans="1:4" x14ac:dyDescent="0.25">
      <c r="A230" s="6" t="s">
        <v>224</v>
      </c>
      <c r="B230" s="7">
        <v>0</v>
      </c>
      <c r="C230" s="7" t="s">
        <v>1632</v>
      </c>
      <c r="D230" s="7" t="s">
        <v>1434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1633</v>
      </c>
      <c r="D234" s="5" t="s">
        <v>1435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0</v>
      </c>
      <c r="D237" s="9">
        <v>0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1522</v>
      </c>
      <c r="D244" s="7" t="s">
        <v>1436</v>
      </c>
    </row>
    <row r="245" spans="1:4" x14ac:dyDescent="0.25">
      <c r="A245" s="8" t="s">
        <v>243</v>
      </c>
      <c r="B245" s="9">
        <v>0</v>
      </c>
      <c r="C245" s="9" t="s">
        <v>1634</v>
      </c>
      <c r="D245" s="9" t="s">
        <v>1437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1635</v>
      </c>
      <c r="D250" s="7" t="s">
        <v>1438</v>
      </c>
    </row>
    <row r="251" spans="1:4" x14ac:dyDescent="0.25">
      <c r="A251" s="8" t="s">
        <v>629</v>
      </c>
      <c r="B251" s="9">
        <v>0</v>
      </c>
      <c r="C251" s="9">
        <v>0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1636</v>
      </c>
      <c r="D254" s="5" t="s">
        <v>1439</v>
      </c>
    </row>
    <row r="255" spans="1:4" x14ac:dyDescent="0.25">
      <c r="A255" s="8" t="s">
        <v>250</v>
      </c>
      <c r="B255" s="9">
        <v>0</v>
      </c>
      <c r="C255" s="9" t="s">
        <v>1573</v>
      </c>
      <c r="D255" s="9" t="s">
        <v>1440</v>
      </c>
    </row>
    <row r="256" spans="1:4" x14ac:dyDescent="0.25">
      <c r="A256" s="6" t="s">
        <v>253</v>
      </c>
      <c r="B256" s="7">
        <v>0</v>
      </c>
      <c r="C256" s="7">
        <v>2973</v>
      </c>
      <c r="D256" s="7">
        <v>5254</v>
      </c>
    </row>
    <row r="257" spans="1:6" x14ac:dyDescent="0.25">
      <c r="A257" s="8" t="s">
        <v>254</v>
      </c>
      <c r="B257" s="9">
        <v>0</v>
      </c>
      <c r="C257" s="9" t="s">
        <v>1637</v>
      </c>
      <c r="D257" s="9" t="s">
        <v>1441</v>
      </c>
    </row>
    <row r="258" spans="1:6" x14ac:dyDescent="0.25">
      <c r="A258" s="6" t="s">
        <v>255</v>
      </c>
      <c r="B258" s="7" t="s">
        <v>1322</v>
      </c>
      <c r="C258" s="7">
        <v>13307</v>
      </c>
      <c r="D258" s="7">
        <v>18826</v>
      </c>
    </row>
    <row r="259" spans="1:6" x14ac:dyDescent="0.25">
      <c r="A259" s="4" t="s">
        <v>256</v>
      </c>
      <c r="B259" s="5" t="s">
        <v>1322</v>
      </c>
      <c r="C259" s="5">
        <v>6477</v>
      </c>
      <c r="D259" s="5">
        <v>10261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1610</v>
      </c>
      <c r="D263" s="3" t="s">
        <v>1391</v>
      </c>
      <c r="E263" s="3" t="s">
        <v>1611</v>
      </c>
      <c r="F263" s="3" t="s">
        <v>1392</v>
      </c>
    </row>
    <row r="264" spans="1:6" x14ac:dyDescent="0.25">
      <c r="A264" s="6" t="s">
        <v>258</v>
      </c>
      <c r="B264" s="7">
        <v>0</v>
      </c>
      <c r="C264" s="7" t="s">
        <v>1624</v>
      </c>
      <c r="D264" s="7" t="s">
        <v>1422</v>
      </c>
      <c r="E264" s="7">
        <v>3326</v>
      </c>
      <c r="F264" s="7" t="s">
        <v>1423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>
        <v>0</v>
      </c>
      <c r="C267" s="9">
        <v>0</v>
      </c>
      <c r="D267" s="9">
        <v>18188</v>
      </c>
      <c r="E267" s="9">
        <v>0</v>
      </c>
      <c r="F267" s="9">
        <v>18188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0</v>
      </c>
      <c r="D272" s="7">
        <v>18188</v>
      </c>
      <c r="E272" s="7">
        <v>0</v>
      </c>
      <c r="F272" s="7">
        <v>18188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0</v>
      </c>
      <c r="D303" s="5">
        <v>18188</v>
      </c>
      <c r="E303" s="5">
        <v>0</v>
      </c>
      <c r="F303" s="5">
        <v>18188</v>
      </c>
    </row>
    <row r="304" spans="1:6" x14ac:dyDescent="0.25">
      <c r="A304" s="4" t="s">
        <v>671</v>
      </c>
      <c r="B304" s="5">
        <v>0</v>
      </c>
      <c r="C304" s="5" t="s">
        <v>1624</v>
      </c>
      <c r="D304" s="5">
        <v>1664</v>
      </c>
      <c r="E304" s="5">
        <v>3326</v>
      </c>
      <c r="F304" s="5" t="s">
        <v>1427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44774.667847222197</v>
      </c>
    </row>
    <row r="311" spans="1:2" x14ac:dyDescent="0.25">
      <c r="A311" s="8" t="s">
        <v>1387</v>
      </c>
      <c r="B311" s="10">
        <v>44774.666365740697</v>
      </c>
    </row>
    <row r="312" spans="1:2" x14ac:dyDescent="0.25">
      <c r="A312" s="4" t="s">
        <v>278</v>
      </c>
      <c r="B312" s="5"/>
    </row>
    <row r="313" spans="1:2" x14ac:dyDescent="0.25">
      <c r="A313" s="8" t="s">
        <v>1387</v>
      </c>
      <c r="B313" s="10">
        <v>44774.666469907403</v>
      </c>
    </row>
    <row r="314" spans="1:2" x14ac:dyDescent="0.25">
      <c r="A314" s="6" t="s">
        <v>276</v>
      </c>
      <c r="B314" s="11">
        <v>44774.667962963002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44774.668032407397</v>
      </c>
    </row>
    <row r="317" spans="1:2" x14ac:dyDescent="0.25">
      <c r="A317" s="8" t="s">
        <v>1387</v>
      </c>
      <c r="B317" s="10">
        <v>44774.666562500002</v>
      </c>
    </row>
    <row r="318" spans="1:2" x14ac:dyDescent="0.25">
      <c r="A318" s="4" t="s">
        <v>280</v>
      </c>
      <c r="B318" s="5"/>
    </row>
    <row r="319" spans="1:2" x14ac:dyDescent="0.25">
      <c r="A319" s="8" t="s">
        <v>1387</v>
      </c>
      <c r="B319" s="10">
        <v>44774.666678240697</v>
      </c>
    </row>
    <row r="320" spans="1:2" x14ac:dyDescent="0.25">
      <c r="A320" s="6" t="s">
        <v>276</v>
      </c>
      <c r="B320" s="11">
        <v>44774.668113425898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6E6C-EEDA-4D45-AF5E-0A45D40267C4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7.28515625" customWidth="1"/>
    <col min="3" max="4" width="49" customWidth="1"/>
    <col min="5" max="6" width="51.425781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1638</v>
      </c>
    </row>
    <row r="3" spans="1:4" x14ac:dyDescent="0.25">
      <c r="A3" t="s">
        <v>1583</v>
      </c>
    </row>
    <row r="4" spans="1:4" x14ac:dyDescent="0.25">
      <c r="A4" t="s">
        <v>353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1639</v>
      </c>
      <c r="D9" s="3" t="s">
        <v>1498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 t="s">
        <v>1322</v>
      </c>
      <c r="C12" s="7">
        <v>10650</v>
      </c>
      <c r="D12" s="7">
        <v>13307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29278</v>
      </c>
      <c r="D14" s="7">
        <v>12879</v>
      </c>
    </row>
    <row r="15" spans="1:4" x14ac:dyDescent="0.25">
      <c r="A15" s="8" t="s">
        <v>31</v>
      </c>
      <c r="B15" s="9" t="s">
        <v>1323</v>
      </c>
      <c r="C15" s="9">
        <v>22259</v>
      </c>
      <c r="D15" s="9">
        <v>8426</v>
      </c>
    </row>
    <row r="16" spans="1:4" x14ac:dyDescent="0.25">
      <c r="A16" s="6" t="s">
        <v>18</v>
      </c>
      <c r="B16" s="7" t="s">
        <v>1324</v>
      </c>
      <c r="C16" s="7">
        <v>1</v>
      </c>
      <c r="D16" s="7">
        <v>5</v>
      </c>
    </row>
    <row r="17" spans="1:4" x14ac:dyDescent="0.25">
      <c r="A17" s="8" t="s">
        <v>32</v>
      </c>
      <c r="B17" s="9" t="s">
        <v>1325</v>
      </c>
      <c r="C17" s="9">
        <v>7018</v>
      </c>
      <c r="D17" s="9">
        <v>4448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 t="s">
        <v>1326</v>
      </c>
      <c r="C19" s="9">
        <v>3586</v>
      </c>
      <c r="D19" s="9">
        <v>2695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 t="s">
        <v>1327</v>
      </c>
      <c r="C22" s="7">
        <v>7739</v>
      </c>
      <c r="D22" s="7">
        <v>6387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51253</v>
      </c>
      <c r="D24" s="7">
        <v>35268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51253</v>
      </c>
      <c r="D26" s="5">
        <v>35268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 t="s">
        <v>1328</v>
      </c>
      <c r="C29" s="9">
        <v>49275</v>
      </c>
      <c r="D29" s="9">
        <v>49275</v>
      </c>
    </row>
    <row r="30" spans="1:4" x14ac:dyDescent="0.25">
      <c r="A30" s="6" t="s">
        <v>491</v>
      </c>
      <c r="B30" s="7">
        <v>0</v>
      </c>
      <c r="C30" s="7">
        <v>10164</v>
      </c>
      <c r="D30" s="7">
        <v>9154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 t="s">
        <v>1324</v>
      </c>
      <c r="C32" s="7">
        <v>3701</v>
      </c>
      <c r="D32" s="7">
        <v>3119</v>
      </c>
    </row>
    <row r="33" spans="1:4" x14ac:dyDescent="0.25">
      <c r="A33" s="8" t="s">
        <v>32</v>
      </c>
      <c r="B33" s="9" t="s">
        <v>1325</v>
      </c>
      <c r="C33" s="9">
        <v>6463</v>
      </c>
      <c r="D33" s="9">
        <v>6035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 t="s">
        <v>1329</v>
      </c>
      <c r="C38" s="7">
        <v>189013</v>
      </c>
      <c r="D38" s="7">
        <v>201252</v>
      </c>
    </row>
    <row r="39" spans="1:4" x14ac:dyDescent="0.25">
      <c r="A39" s="8" t="s">
        <v>497</v>
      </c>
      <c r="B39" s="9" t="s">
        <v>1330</v>
      </c>
      <c r="C39" s="9">
        <v>8226</v>
      </c>
      <c r="D39" s="9">
        <v>2009</v>
      </c>
    </row>
    <row r="40" spans="1:4" x14ac:dyDescent="0.25">
      <c r="A40" s="6" t="s">
        <v>498</v>
      </c>
      <c r="B40" s="7" t="s">
        <v>1331</v>
      </c>
      <c r="C40" s="7">
        <v>34740</v>
      </c>
      <c r="D40" s="7">
        <v>30546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1332</v>
      </c>
      <c r="C43" s="9">
        <v>103839</v>
      </c>
      <c r="D43" s="9">
        <v>115924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395257</v>
      </c>
      <c r="D45" s="5">
        <v>408160</v>
      </c>
    </row>
    <row r="46" spans="1:4" x14ac:dyDescent="0.25">
      <c r="A46" s="4" t="s">
        <v>39</v>
      </c>
      <c r="B46" s="5">
        <v>0</v>
      </c>
      <c r="C46" s="5">
        <v>446510</v>
      </c>
      <c r="D46" s="5">
        <v>443428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 t="s">
        <v>1333</v>
      </c>
      <c r="C49" s="9">
        <v>3143</v>
      </c>
      <c r="D49" s="9">
        <v>4322</v>
      </c>
    </row>
    <row r="50" spans="1:4" x14ac:dyDescent="0.25">
      <c r="A50" s="6" t="s">
        <v>501</v>
      </c>
      <c r="B50" s="7">
        <v>0</v>
      </c>
      <c r="C50" s="7">
        <v>47871</v>
      </c>
      <c r="D50" s="7">
        <v>28058</v>
      </c>
    </row>
    <row r="51" spans="1:4" x14ac:dyDescent="0.25">
      <c r="A51" s="8" t="s">
        <v>44</v>
      </c>
      <c r="B51" s="9" t="s">
        <v>1334</v>
      </c>
      <c r="C51" s="9">
        <v>28250</v>
      </c>
      <c r="D51" s="9">
        <v>19302</v>
      </c>
    </row>
    <row r="52" spans="1:4" x14ac:dyDescent="0.25">
      <c r="A52" s="6" t="s">
        <v>46</v>
      </c>
      <c r="B52" s="7" t="s">
        <v>1324</v>
      </c>
      <c r="C52" s="7">
        <v>0</v>
      </c>
      <c r="D52" s="7">
        <v>0</v>
      </c>
    </row>
    <row r="53" spans="1:4" x14ac:dyDescent="0.25">
      <c r="A53" s="8" t="s">
        <v>45</v>
      </c>
      <c r="B53" s="9" t="s">
        <v>1335</v>
      </c>
      <c r="C53" s="9">
        <v>9080</v>
      </c>
      <c r="D53" s="9">
        <v>4615</v>
      </c>
    </row>
    <row r="54" spans="1:4" x14ac:dyDescent="0.25">
      <c r="A54" s="6" t="s">
        <v>56</v>
      </c>
      <c r="B54" s="7" t="s">
        <v>1336</v>
      </c>
      <c r="C54" s="7">
        <v>10541</v>
      </c>
      <c r="D54" s="7">
        <v>4141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1337</v>
      </c>
      <c r="C58" s="7">
        <v>10482</v>
      </c>
      <c r="D58" s="7">
        <v>8644</v>
      </c>
    </row>
    <row r="59" spans="1:4" x14ac:dyDescent="0.25">
      <c r="A59" s="8" t="s">
        <v>504</v>
      </c>
      <c r="B59" s="9">
        <v>0</v>
      </c>
      <c r="C59" s="9">
        <v>61496</v>
      </c>
      <c r="D59" s="9">
        <v>41024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61496</v>
      </c>
      <c r="D61" s="5">
        <v>41024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 t="s">
        <v>1333</v>
      </c>
      <c r="C63" s="9">
        <v>218289</v>
      </c>
      <c r="D63" s="9">
        <v>219708</v>
      </c>
    </row>
    <row r="64" spans="1:4" x14ac:dyDescent="0.25">
      <c r="A64" s="6" t="s">
        <v>501</v>
      </c>
      <c r="B64" s="7">
        <v>0</v>
      </c>
      <c r="C64" s="7">
        <v>2253</v>
      </c>
      <c r="D64" s="7">
        <v>2997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 t="s">
        <v>1324</v>
      </c>
      <c r="C66" s="7">
        <v>2253</v>
      </c>
      <c r="D66" s="7">
        <v>2253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 t="s">
        <v>1338</v>
      </c>
      <c r="C68" s="7">
        <v>0</v>
      </c>
      <c r="D68" s="7">
        <v>744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0</v>
      </c>
      <c r="C71" s="9">
        <v>0</v>
      </c>
      <c r="D71" s="9">
        <v>0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1337</v>
      </c>
      <c r="C73" s="9">
        <v>131219</v>
      </c>
      <c r="D73" s="9">
        <v>143856</v>
      </c>
    </row>
    <row r="74" spans="1:4" x14ac:dyDescent="0.25">
      <c r="A74" s="4" t="s">
        <v>59</v>
      </c>
      <c r="B74" s="5">
        <v>0</v>
      </c>
      <c r="C74" s="5">
        <v>351761</v>
      </c>
      <c r="D74" s="5">
        <v>366561</v>
      </c>
    </row>
    <row r="75" spans="1:4" x14ac:dyDescent="0.25">
      <c r="A75" s="4" t="s">
        <v>60</v>
      </c>
      <c r="B75" s="5">
        <v>0</v>
      </c>
      <c r="C75" s="5">
        <v>413257</v>
      </c>
      <c r="D75" s="5">
        <v>407585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15</v>
      </c>
      <c r="C77" s="9">
        <v>80534</v>
      </c>
      <c r="D77" s="9">
        <v>80534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1640</v>
      </c>
      <c r="D82" s="7" t="s">
        <v>1586</v>
      </c>
    </row>
    <row r="83" spans="1:6" x14ac:dyDescent="0.25">
      <c r="A83" s="8" t="s">
        <v>68</v>
      </c>
      <c r="B83" s="9">
        <v>0</v>
      </c>
      <c r="C83" s="9">
        <v>43964</v>
      </c>
      <c r="D83" s="9">
        <v>43964</v>
      </c>
    </row>
    <row r="84" spans="1:6" x14ac:dyDescent="0.25">
      <c r="A84" s="4" t="s">
        <v>71</v>
      </c>
      <c r="B84" s="5">
        <v>0</v>
      </c>
      <c r="C84" s="5">
        <v>33253</v>
      </c>
      <c r="D84" s="5">
        <v>35843</v>
      </c>
    </row>
    <row r="85" spans="1:6" x14ac:dyDescent="0.25">
      <c r="A85" s="4" t="s">
        <v>72</v>
      </c>
      <c r="B85" s="5">
        <v>0</v>
      </c>
      <c r="C85" s="5">
        <v>446510</v>
      </c>
      <c r="D85" s="5">
        <v>443428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1641</v>
      </c>
      <c r="D89" s="3" t="s">
        <v>1447</v>
      </c>
      <c r="E89" s="3" t="s">
        <v>1642</v>
      </c>
      <c r="F89" s="3" t="s">
        <v>1448</v>
      </c>
    </row>
    <row r="90" spans="1:6" x14ac:dyDescent="0.25">
      <c r="A90" s="4" t="s">
        <v>510</v>
      </c>
      <c r="B90" s="5" t="s">
        <v>1343</v>
      </c>
      <c r="C90" s="5">
        <v>47668</v>
      </c>
      <c r="D90" s="5">
        <v>25712</v>
      </c>
      <c r="E90" s="5">
        <v>112038</v>
      </c>
      <c r="F90" s="5">
        <v>58778</v>
      </c>
    </row>
    <row r="91" spans="1:6" x14ac:dyDescent="0.25">
      <c r="A91" s="8" t="s">
        <v>79</v>
      </c>
      <c r="B91" s="9" t="s">
        <v>1344</v>
      </c>
      <c r="C91" s="9" t="s">
        <v>1643</v>
      </c>
      <c r="D91" s="9" t="s">
        <v>1449</v>
      </c>
      <c r="E91" s="9" t="s">
        <v>1644</v>
      </c>
      <c r="F91" s="9" t="s">
        <v>1451</v>
      </c>
    </row>
    <row r="92" spans="1:6" x14ac:dyDescent="0.25">
      <c r="A92" s="4" t="s">
        <v>82</v>
      </c>
      <c r="B92" s="5">
        <v>0</v>
      </c>
      <c r="C92" s="5">
        <v>18154</v>
      </c>
      <c r="D92" s="5">
        <v>5251</v>
      </c>
      <c r="E92" s="5">
        <v>33359</v>
      </c>
      <c r="F92" s="5">
        <v>3380</v>
      </c>
    </row>
    <row r="93" spans="1:6" x14ac:dyDescent="0.25">
      <c r="A93" s="8" t="s">
        <v>83</v>
      </c>
      <c r="B93" s="9" t="s">
        <v>1348</v>
      </c>
      <c r="C93" s="9" t="s">
        <v>1645</v>
      </c>
      <c r="D93" s="9" t="s">
        <v>1453</v>
      </c>
      <c r="E93" s="9" t="s">
        <v>1646</v>
      </c>
      <c r="F93" s="9" t="s">
        <v>1454</v>
      </c>
    </row>
    <row r="94" spans="1:6" x14ac:dyDescent="0.25">
      <c r="A94" s="6" t="s">
        <v>86</v>
      </c>
      <c r="B94" s="7" t="s">
        <v>1348</v>
      </c>
      <c r="C94" s="7" t="s">
        <v>1647</v>
      </c>
      <c r="D94" s="7" t="s">
        <v>1456</v>
      </c>
      <c r="E94" s="7" t="s">
        <v>1648</v>
      </c>
      <c r="F94" s="7" t="s">
        <v>1458</v>
      </c>
    </row>
    <row r="95" spans="1:6" x14ac:dyDescent="0.25">
      <c r="A95" s="8" t="s">
        <v>90</v>
      </c>
      <c r="B95" s="9" t="s">
        <v>1353</v>
      </c>
      <c r="C95" s="9">
        <v>1494</v>
      </c>
      <c r="D95" s="9">
        <v>477</v>
      </c>
      <c r="E95" s="9">
        <v>2206</v>
      </c>
      <c r="F95" s="9">
        <v>1477</v>
      </c>
    </row>
    <row r="96" spans="1:6" x14ac:dyDescent="0.25">
      <c r="A96" s="6" t="s">
        <v>91</v>
      </c>
      <c r="B96" s="7" t="s">
        <v>1353</v>
      </c>
      <c r="C96" s="7" t="s">
        <v>1649</v>
      </c>
      <c r="D96" s="7" t="s">
        <v>311</v>
      </c>
      <c r="E96" s="7" t="s">
        <v>1650</v>
      </c>
      <c r="F96" s="7" t="s">
        <v>1460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9147</v>
      </c>
      <c r="D98" s="5" t="s">
        <v>1461</v>
      </c>
      <c r="E98" s="5">
        <v>8501</v>
      </c>
      <c r="F98" s="5" t="s">
        <v>1463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 t="s">
        <v>1356</v>
      </c>
      <c r="C100" s="7">
        <v>87</v>
      </c>
      <c r="D100" s="7">
        <v>87</v>
      </c>
      <c r="E100" s="7">
        <v>254</v>
      </c>
      <c r="F100" s="7">
        <v>242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 t="s">
        <v>1356</v>
      </c>
      <c r="C102" s="7" t="s">
        <v>1651</v>
      </c>
      <c r="D102" s="7" t="s">
        <v>1464</v>
      </c>
      <c r="E102" s="7" t="s">
        <v>1652</v>
      </c>
      <c r="F102" s="7" t="s">
        <v>1465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 t="s">
        <v>1358</v>
      </c>
      <c r="C105" s="9" t="s">
        <v>1653</v>
      </c>
      <c r="D105" s="9" t="s">
        <v>1466</v>
      </c>
      <c r="E105" s="9">
        <v>3220</v>
      </c>
      <c r="F105" s="9" t="s">
        <v>1468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 t="s">
        <v>1654</v>
      </c>
      <c r="D110" s="5" t="s">
        <v>1469</v>
      </c>
      <c r="E110" s="5" t="s">
        <v>1655</v>
      </c>
      <c r="F110" s="5" t="s">
        <v>1470</v>
      </c>
    </row>
    <row r="111" spans="1:6" x14ac:dyDescent="0.25">
      <c r="A111" s="8" t="s">
        <v>530</v>
      </c>
      <c r="B111" s="9" t="s">
        <v>1361</v>
      </c>
      <c r="C111" s="9">
        <v>13197</v>
      </c>
      <c r="D111" s="9">
        <v>9744</v>
      </c>
      <c r="E111" s="9">
        <v>13197</v>
      </c>
      <c r="F111" s="9">
        <v>24643</v>
      </c>
    </row>
    <row r="112" spans="1:6" x14ac:dyDescent="0.25">
      <c r="A112" s="6" t="s">
        <v>531</v>
      </c>
      <c r="B112" s="7">
        <v>0</v>
      </c>
      <c r="C112" s="7">
        <v>3086</v>
      </c>
      <c r="D112" s="7" t="s">
        <v>1471</v>
      </c>
      <c r="E112" s="7">
        <v>6412</v>
      </c>
      <c r="F112" s="7" t="s">
        <v>1472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>
        <v>3086</v>
      </c>
      <c r="D114" s="5" t="s">
        <v>1471</v>
      </c>
      <c r="E114" s="5">
        <v>6412</v>
      </c>
      <c r="F114" s="5" t="s">
        <v>1472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0</v>
      </c>
      <c r="C117" s="9">
        <v>4.2000000000000003E-2</v>
      </c>
      <c r="D117" s="9" t="s">
        <v>1473</v>
      </c>
      <c r="E117" s="9">
        <v>8.8999999999999996E-2</v>
      </c>
      <c r="F117" s="9" t="s">
        <v>1475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>
        <v>4.2000000000000003E-2</v>
      </c>
      <c r="D119" s="9" t="s">
        <v>1473</v>
      </c>
      <c r="E119" s="9">
        <v>8.8999999999999996E-2</v>
      </c>
      <c r="F119" s="9" t="s">
        <v>1475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1365</v>
      </c>
      <c r="B134" s="7">
        <v>70662</v>
      </c>
      <c r="C134" s="7">
        <v>0</v>
      </c>
      <c r="D134" s="7">
        <v>0</v>
      </c>
      <c r="E134" s="7">
        <v>0</v>
      </c>
      <c r="F134" s="7">
        <v>3036</v>
      </c>
      <c r="G134" s="7" t="s">
        <v>1340</v>
      </c>
      <c r="H134" s="7">
        <v>0</v>
      </c>
      <c r="I134" s="7">
        <v>6048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6048</v>
      </c>
      <c r="X134" s="7">
        <v>23627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70662</v>
      </c>
      <c r="C137" s="9">
        <v>0</v>
      </c>
      <c r="D137" s="9">
        <v>0</v>
      </c>
      <c r="E137" s="9">
        <v>0</v>
      </c>
      <c r="F137" s="9">
        <v>3036</v>
      </c>
      <c r="G137" s="9" t="s">
        <v>1340</v>
      </c>
      <c r="H137" s="9">
        <v>0</v>
      </c>
      <c r="I137" s="9">
        <v>6048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6048</v>
      </c>
      <c r="X137" s="9">
        <v>23627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1472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1472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43871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43871</v>
      </c>
      <c r="X141" s="9">
        <v>43871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1472</v>
      </c>
      <c r="H142" s="7">
        <v>0</v>
      </c>
      <c r="I142" s="7">
        <v>43871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43871</v>
      </c>
      <c r="X142" s="7" t="s">
        <v>1478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0</v>
      </c>
      <c r="C156" s="7">
        <v>0</v>
      </c>
      <c r="D156" s="7">
        <v>0</v>
      </c>
      <c r="E156" s="7">
        <v>0</v>
      </c>
      <c r="F156" s="7">
        <v>0</v>
      </c>
      <c r="G156" s="7" t="s">
        <v>1472</v>
      </c>
      <c r="H156" s="7">
        <v>0</v>
      </c>
      <c r="I156" s="7">
        <v>43871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43871</v>
      </c>
      <c r="X156" s="7" t="s">
        <v>1478</v>
      </c>
    </row>
    <row r="157" spans="1:24" x14ac:dyDescent="0.25">
      <c r="A157" s="8" t="s">
        <v>1479</v>
      </c>
      <c r="B157" s="9">
        <v>70662</v>
      </c>
      <c r="C157" s="9">
        <v>0</v>
      </c>
      <c r="D157" s="9">
        <v>0</v>
      </c>
      <c r="E157" s="9">
        <v>0</v>
      </c>
      <c r="F157" s="9">
        <v>3036</v>
      </c>
      <c r="G157" s="9" t="s">
        <v>1446</v>
      </c>
      <c r="H157" s="9">
        <v>0</v>
      </c>
      <c r="I157" s="9">
        <v>49919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49919</v>
      </c>
      <c r="X157" s="9">
        <v>7856</v>
      </c>
    </row>
    <row r="158" spans="1:24" x14ac:dyDescent="0.25">
      <c r="A158" s="6" t="s">
        <v>1595</v>
      </c>
      <c r="B158" s="7">
        <v>80534</v>
      </c>
      <c r="C158" s="7">
        <v>0</v>
      </c>
      <c r="D158" s="7">
        <v>0</v>
      </c>
      <c r="E158" s="7">
        <v>0</v>
      </c>
      <c r="F158" s="7">
        <v>3036</v>
      </c>
      <c r="G158" s="7" t="s">
        <v>1586</v>
      </c>
      <c r="H158" s="7">
        <v>0</v>
      </c>
      <c r="I158" s="7">
        <v>27867</v>
      </c>
      <c r="J158" s="7">
        <v>0</v>
      </c>
      <c r="K158" s="7">
        <v>0</v>
      </c>
      <c r="L158" s="7">
        <v>0</v>
      </c>
      <c r="M158" s="7">
        <v>16097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43964</v>
      </c>
      <c r="X158" s="7">
        <v>35843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80534</v>
      </c>
      <c r="C161" s="9">
        <v>0</v>
      </c>
      <c r="D161" s="9">
        <v>0</v>
      </c>
      <c r="E161" s="9">
        <v>0</v>
      </c>
      <c r="F161" s="9">
        <v>3036</v>
      </c>
      <c r="G161" s="9" t="s">
        <v>1586</v>
      </c>
      <c r="H161" s="9">
        <v>0</v>
      </c>
      <c r="I161" s="9">
        <v>27867</v>
      </c>
      <c r="J161" s="9">
        <v>0</v>
      </c>
      <c r="K161" s="9">
        <v>0</v>
      </c>
      <c r="L161" s="9">
        <v>0</v>
      </c>
      <c r="M161" s="9">
        <v>16097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43964</v>
      </c>
      <c r="X161" s="9">
        <v>35843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6412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6412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6412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6412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 t="s">
        <v>1656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 t="s">
        <v>1656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 t="s">
        <v>1657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 t="s">
        <v>1657</v>
      </c>
    </row>
    <row r="181" spans="1:24" x14ac:dyDescent="0.25">
      <c r="A181" s="8" t="s">
        <v>1658</v>
      </c>
      <c r="B181" s="9">
        <v>80534</v>
      </c>
      <c r="C181" s="9">
        <v>0</v>
      </c>
      <c r="D181" s="9">
        <v>0</v>
      </c>
      <c r="E181" s="9">
        <v>0</v>
      </c>
      <c r="F181" s="9">
        <v>3036</v>
      </c>
      <c r="G181" s="9" t="s">
        <v>1640</v>
      </c>
      <c r="H181" s="9">
        <v>0</v>
      </c>
      <c r="I181" s="9">
        <v>27867</v>
      </c>
      <c r="J181" s="9">
        <v>0</v>
      </c>
      <c r="K181" s="9">
        <v>0</v>
      </c>
      <c r="L181" s="9">
        <v>0</v>
      </c>
      <c r="M181" s="9">
        <v>16097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43964</v>
      </c>
      <c r="X181" s="9">
        <v>33253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1659</v>
      </c>
      <c r="D185" s="3" t="s">
        <v>1480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98948</v>
      </c>
      <c r="D188" s="7">
        <v>62232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1660</v>
      </c>
      <c r="D194" s="7" t="s">
        <v>1481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1661</v>
      </c>
      <c r="D196" s="7" t="s">
        <v>1482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387</v>
      </c>
      <c r="D198" s="7" t="s">
        <v>1483</v>
      </c>
    </row>
    <row r="199" spans="1:4" x14ac:dyDescent="0.25">
      <c r="A199" s="8" t="s">
        <v>591</v>
      </c>
      <c r="B199" s="9">
        <v>0</v>
      </c>
      <c r="C199" s="9">
        <v>30639</v>
      </c>
      <c r="D199" s="9">
        <v>11631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 t="s">
        <v>1662</v>
      </c>
      <c r="D204" s="7">
        <v>0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24096</v>
      </c>
      <c r="D206" s="5">
        <v>11631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 t="s">
        <v>1375</v>
      </c>
      <c r="C229" s="9" t="s">
        <v>1663</v>
      </c>
      <c r="D229" s="9" t="s">
        <v>1486</v>
      </c>
    </row>
    <row r="230" spans="1:4" x14ac:dyDescent="0.25">
      <c r="A230" s="6" t="s">
        <v>224</v>
      </c>
      <c r="B230" s="7" t="s">
        <v>1377</v>
      </c>
      <c r="C230" s="7" t="s">
        <v>1664</v>
      </c>
      <c r="D230" s="7" t="s">
        <v>1487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1665</v>
      </c>
      <c r="D234" s="5" t="s">
        <v>1488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9500</v>
      </c>
      <c r="D237" s="9">
        <v>4406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0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26.5</v>
      </c>
      <c r="C244" s="7" t="s">
        <v>1666</v>
      </c>
      <c r="D244" s="7" t="s">
        <v>1489</v>
      </c>
    </row>
    <row r="245" spans="1:4" x14ac:dyDescent="0.25">
      <c r="A245" s="8" t="s">
        <v>243</v>
      </c>
      <c r="B245" s="9" t="s">
        <v>1126</v>
      </c>
      <c r="C245" s="9" t="s">
        <v>1667</v>
      </c>
      <c r="D245" s="9" t="s">
        <v>1490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26.5</v>
      </c>
      <c r="C250" s="7" t="s">
        <v>1604</v>
      </c>
      <c r="D250" s="7" t="s">
        <v>1491</v>
      </c>
    </row>
    <row r="251" spans="1:4" x14ac:dyDescent="0.25">
      <c r="A251" s="8" t="s">
        <v>629</v>
      </c>
      <c r="B251" s="9" t="s">
        <v>1383</v>
      </c>
      <c r="C251" s="9">
        <v>0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1668</v>
      </c>
      <c r="D254" s="5" t="s">
        <v>1492</v>
      </c>
    </row>
    <row r="255" spans="1:4" x14ac:dyDescent="0.25">
      <c r="A255" s="8" t="s">
        <v>250</v>
      </c>
      <c r="B255" s="9">
        <v>0</v>
      </c>
      <c r="C255" s="9" t="s">
        <v>1669</v>
      </c>
      <c r="D255" s="9" t="s">
        <v>1493</v>
      </c>
    </row>
    <row r="256" spans="1:4" x14ac:dyDescent="0.25">
      <c r="A256" s="6" t="s">
        <v>253</v>
      </c>
      <c r="B256" s="7">
        <v>0</v>
      </c>
      <c r="C256" s="7">
        <v>4439</v>
      </c>
      <c r="D256" s="7">
        <v>3489</v>
      </c>
    </row>
    <row r="257" spans="1:6" x14ac:dyDescent="0.25">
      <c r="A257" s="8" t="s">
        <v>254</v>
      </c>
      <c r="B257" s="9">
        <v>0</v>
      </c>
      <c r="C257" s="9" t="s">
        <v>1670</v>
      </c>
      <c r="D257" s="9" t="s">
        <v>1495</v>
      </c>
    </row>
    <row r="258" spans="1:6" x14ac:dyDescent="0.25">
      <c r="A258" s="6" t="s">
        <v>255</v>
      </c>
      <c r="B258" s="7" t="s">
        <v>1322</v>
      </c>
      <c r="C258" s="7">
        <v>13307</v>
      </c>
      <c r="D258" s="7">
        <v>18826</v>
      </c>
    </row>
    <row r="259" spans="1:6" x14ac:dyDescent="0.25">
      <c r="A259" s="4" t="s">
        <v>256</v>
      </c>
      <c r="B259" s="5" t="s">
        <v>1322</v>
      </c>
      <c r="C259" s="5">
        <v>10650</v>
      </c>
      <c r="D259" s="5">
        <v>12388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1641</v>
      </c>
      <c r="D263" s="3" t="s">
        <v>1447</v>
      </c>
      <c r="E263" s="3" t="s">
        <v>1642</v>
      </c>
      <c r="F263" s="3" t="s">
        <v>1448</v>
      </c>
    </row>
    <row r="264" spans="1:6" x14ac:dyDescent="0.25">
      <c r="A264" s="6" t="s">
        <v>258</v>
      </c>
      <c r="B264" s="7">
        <v>0</v>
      </c>
      <c r="C264" s="7">
        <v>3086</v>
      </c>
      <c r="D264" s="7" t="s">
        <v>1471</v>
      </c>
      <c r="E264" s="7">
        <v>6412</v>
      </c>
      <c r="F264" s="7" t="s">
        <v>1472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 t="s">
        <v>1442</v>
      </c>
      <c r="C267" s="9">
        <v>0</v>
      </c>
      <c r="D267" s="9">
        <v>25683</v>
      </c>
      <c r="E267" s="9">
        <v>0</v>
      </c>
      <c r="F267" s="9">
        <v>43871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</row>
    <row r="272" spans="1:6" x14ac:dyDescent="0.25">
      <c r="A272" s="6" t="s">
        <v>640</v>
      </c>
      <c r="B272" s="7">
        <v>0</v>
      </c>
      <c r="C272" s="7">
        <v>0</v>
      </c>
      <c r="D272" s="7">
        <v>25683</v>
      </c>
      <c r="E272" s="7">
        <v>0</v>
      </c>
      <c r="F272" s="7">
        <v>43871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>
        <v>0</v>
      </c>
      <c r="D303" s="5">
        <v>25683</v>
      </c>
      <c r="E303" s="5">
        <v>0</v>
      </c>
      <c r="F303" s="5">
        <v>43871</v>
      </c>
    </row>
    <row r="304" spans="1:6" x14ac:dyDescent="0.25">
      <c r="A304" s="4" t="s">
        <v>671</v>
      </c>
      <c r="B304" s="5">
        <v>0</v>
      </c>
      <c r="C304" s="5">
        <v>3086</v>
      </c>
      <c r="D304" s="5">
        <v>1646</v>
      </c>
      <c r="E304" s="5">
        <v>6412</v>
      </c>
      <c r="F304" s="5" t="s">
        <v>1478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44865.636851851901</v>
      </c>
    </row>
    <row r="311" spans="1:2" x14ac:dyDescent="0.25">
      <c r="A311" s="8" t="s">
        <v>1387</v>
      </c>
      <c r="B311" s="10">
        <v>44865.635069444397</v>
      </c>
    </row>
    <row r="312" spans="1:2" x14ac:dyDescent="0.25">
      <c r="A312" s="4" t="s">
        <v>278</v>
      </c>
      <c r="B312" s="5"/>
    </row>
    <row r="313" spans="1:2" x14ac:dyDescent="0.25">
      <c r="A313" s="8" t="s">
        <v>1387</v>
      </c>
      <c r="B313" s="10">
        <v>44865.635150463</v>
      </c>
    </row>
    <row r="314" spans="1:2" x14ac:dyDescent="0.25">
      <c r="A314" s="6" t="s">
        <v>276</v>
      </c>
      <c r="B314" s="11">
        <v>44865.636979166702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44865.637060185203</v>
      </c>
    </row>
    <row r="317" spans="1:2" x14ac:dyDescent="0.25">
      <c r="A317" s="8" t="s">
        <v>1387</v>
      </c>
      <c r="B317" s="10">
        <v>44865.635219907403</v>
      </c>
    </row>
    <row r="318" spans="1:2" x14ac:dyDescent="0.25">
      <c r="A318" s="4" t="s">
        <v>280</v>
      </c>
      <c r="B318" s="5"/>
    </row>
    <row r="319" spans="1:2" x14ac:dyDescent="0.25">
      <c r="A319" s="8" t="s">
        <v>1387</v>
      </c>
      <c r="B319" s="10">
        <v>44865.635300925896</v>
      </c>
    </row>
    <row r="320" spans="1:2" x14ac:dyDescent="0.25">
      <c r="A320" s="6" t="s">
        <v>276</v>
      </c>
      <c r="B320" s="11">
        <v>44865.637141203697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231E-09DD-4152-9403-5E606F6AF58B}">
  <dimension ref="A1:X320"/>
  <sheetViews>
    <sheetView topLeftCell="A235" workbookViewId="0">
      <selection activeCell="C186" sqref="C186:C259"/>
    </sheetView>
  </sheetViews>
  <sheetFormatPr defaultRowHeight="15" x14ac:dyDescent="0.25"/>
  <cols>
    <col min="1" max="1" width="50.7109375" customWidth="1"/>
    <col min="2" max="2" width="16.140625" customWidth="1"/>
    <col min="3" max="4" width="51" customWidth="1"/>
    <col min="5" max="6" width="50.28515625" customWidth="1"/>
    <col min="7" max="7" width="22.5703125" customWidth="1"/>
    <col min="8" max="8" width="88.42578125" customWidth="1"/>
    <col min="9" max="9" width="23.85546875" customWidth="1"/>
    <col min="10" max="10" width="58.42578125" customWidth="1"/>
    <col min="11" max="11" width="109.42578125" customWidth="1"/>
    <col min="12" max="12" width="108.28515625" customWidth="1"/>
    <col min="13" max="13" width="127.5703125" customWidth="1"/>
    <col min="14" max="14" width="29.42578125" customWidth="1"/>
    <col min="15" max="15" width="52.5703125" customWidth="1"/>
    <col min="16" max="16" width="63.28515625" customWidth="1"/>
    <col min="17" max="17" width="77.5703125" customWidth="1"/>
    <col min="18" max="18" width="54" customWidth="1"/>
    <col min="19" max="19" width="59.42578125" customWidth="1"/>
    <col min="20" max="20" width="65.85546875" customWidth="1"/>
    <col min="21" max="21" width="88" customWidth="1"/>
    <col min="22" max="22" width="91.140625" customWidth="1"/>
    <col min="23" max="23" width="27.7109375" customWidth="1"/>
    <col min="24" max="24" width="16.42578125" customWidth="1"/>
  </cols>
  <sheetData>
    <row r="1" spans="1:4" ht="18.75" x14ac:dyDescent="0.3">
      <c r="A1" s="1" t="s">
        <v>0</v>
      </c>
    </row>
    <row r="2" spans="1:4" x14ac:dyDescent="0.25">
      <c r="A2" t="s">
        <v>1671</v>
      </c>
    </row>
    <row r="3" spans="1:4" x14ac:dyDescent="0.25">
      <c r="A3" t="s">
        <v>1583</v>
      </c>
    </row>
    <row r="4" spans="1:4" x14ac:dyDescent="0.25">
      <c r="A4" t="s">
        <v>421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ht="15.75" x14ac:dyDescent="0.25">
      <c r="A8" s="2" t="s">
        <v>6</v>
      </c>
    </row>
    <row r="9" spans="1:4" x14ac:dyDescent="0.25">
      <c r="A9" s="3" t="s">
        <v>7</v>
      </c>
      <c r="B9" s="3" t="s">
        <v>8</v>
      </c>
      <c r="C9" s="3" t="s">
        <v>1672</v>
      </c>
      <c r="D9" s="3" t="s">
        <v>1498</v>
      </c>
    </row>
    <row r="10" spans="1:4" x14ac:dyDescent="0.25">
      <c r="A10" s="4" t="s">
        <v>11</v>
      </c>
      <c r="B10" s="5">
        <v>0</v>
      </c>
      <c r="C10" s="5">
        <v>0</v>
      </c>
      <c r="D10" s="5">
        <v>0</v>
      </c>
    </row>
    <row r="11" spans="1:4" x14ac:dyDescent="0.25">
      <c r="A11" s="4" t="s">
        <v>12</v>
      </c>
      <c r="B11" s="5">
        <v>0</v>
      </c>
      <c r="C11" s="5">
        <v>0</v>
      </c>
      <c r="D11" s="5">
        <v>0</v>
      </c>
    </row>
    <row r="12" spans="1:4" x14ac:dyDescent="0.25">
      <c r="A12" s="6" t="s">
        <v>13</v>
      </c>
      <c r="B12" s="7" t="s">
        <v>1322</v>
      </c>
      <c r="C12" s="7">
        <v>10785</v>
      </c>
      <c r="D12" s="7">
        <v>13307</v>
      </c>
    </row>
    <row r="13" spans="1:4" x14ac:dyDescent="0.25">
      <c r="A13" s="8" t="s">
        <v>14</v>
      </c>
      <c r="B13" s="9">
        <v>0</v>
      </c>
      <c r="C13" s="9">
        <v>0</v>
      </c>
      <c r="D13" s="9">
        <v>0</v>
      </c>
    </row>
    <row r="14" spans="1:4" x14ac:dyDescent="0.25">
      <c r="A14" s="6" t="s">
        <v>491</v>
      </c>
      <c r="B14" s="7">
        <v>0</v>
      </c>
      <c r="C14" s="7">
        <v>12228</v>
      </c>
      <c r="D14" s="7">
        <v>12879</v>
      </c>
    </row>
    <row r="15" spans="1:4" x14ac:dyDescent="0.25">
      <c r="A15" s="8" t="s">
        <v>31</v>
      </c>
      <c r="B15" s="9" t="s">
        <v>1323</v>
      </c>
      <c r="C15" s="9">
        <v>6387</v>
      </c>
      <c r="D15" s="9">
        <v>8426</v>
      </c>
    </row>
    <row r="16" spans="1:4" x14ac:dyDescent="0.25">
      <c r="A16" s="6" t="s">
        <v>18</v>
      </c>
      <c r="B16" s="7" t="s">
        <v>1673</v>
      </c>
      <c r="C16" s="7">
        <v>1</v>
      </c>
      <c r="D16" s="7">
        <v>5</v>
      </c>
    </row>
    <row r="17" spans="1:4" x14ac:dyDescent="0.25">
      <c r="A17" s="8" t="s">
        <v>32</v>
      </c>
      <c r="B17" s="9" t="s">
        <v>1325</v>
      </c>
      <c r="C17" s="9">
        <v>5840</v>
      </c>
      <c r="D17" s="9">
        <v>4448</v>
      </c>
    </row>
    <row r="18" spans="1:4" x14ac:dyDescent="0.25">
      <c r="A18" s="6" t="s">
        <v>19</v>
      </c>
      <c r="B18" s="7">
        <v>0</v>
      </c>
      <c r="C18" s="7">
        <v>0</v>
      </c>
      <c r="D18" s="7">
        <v>0</v>
      </c>
    </row>
    <row r="19" spans="1:4" x14ac:dyDescent="0.25">
      <c r="A19" s="8" t="s">
        <v>20</v>
      </c>
      <c r="B19" s="9" t="s">
        <v>1326</v>
      </c>
      <c r="C19" s="9">
        <v>3419</v>
      </c>
      <c r="D19" s="9">
        <v>2695</v>
      </c>
    </row>
    <row r="20" spans="1:4" x14ac:dyDescent="0.25">
      <c r="A20" s="6" t="s">
        <v>21</v>
      </c>
      <c r="B20" s="7">
        <v>0</v>
      </c>
      <c r="C20" s="7">
        <v>0</v>
      </c>
      <c r="D20" s="7">
        <v>0</v>
      </c>
    </row>
    <row r="21" spans="1:4" x14ac:dyDescent="0.25">
      <c r="A21" s="8" t="s">
        <v>22</v>
      </c>
      <c r="B21" s="9">
        <v>0</v>
      </c>
      <c r="C21" s="9">
        <v>0</v>
      </c>
      <c r="D21" s="9">
        <v>0</v>
      </c>
    </row>
    <row r="22" spans="1:4" x14ac:dyDescent="0.25">
      <c r="A22" s="6" t="s">
        <v>492</v>
      </c>
      <c r="B22" s="7" t="s">
        <v>1327</v>
      </c>
      <c r="C22" s="7">
        <v>7931</v>
      </c>
      <c r="D22" s="7">
        <v>6387</v>
      </c>
    </row>
    <row r="23" spans="1:4" x14ac:dyDescent="0.25">
      <c r="A23" s="8" t="s">
        <v>493</v>
      </c>
      <c r="B23" s="9">
        <v>0</v>
      </c>
      <c r="C23" s="9">
        <v>0</v>
      </c>
      <c r="D23" s="9">
        <v>0</v>
      </c>
    </row>
    <row r="24" spans="1:4" x14ac:dyDescent="0.25">
      <c r="A24" s="6" t="s">
        <v>494</v>
      </c>
      <c r="B24" s="7">
        <v>0</v>
      </c>
      <c r="C24" s="7">
        <v>34363</v>
      </c>
      <c r="D24" s="7">
        <v>35268</v>
      </c>
    </row>
    <row r="25" spans="1:4" x14ac:dyDescent="0.25">
      <c r="A25" s="8" t="s">
        <v>27</v>
      </c>
      <c r="B25" s="9">
        <v>0</v>
      </c>
      <c r="C25" s="9">
        <v>0</v>
      </c>
      <c r="D25" s="9">
        <v>0</v>
      </c>
    </row>
    <row r="26" spans="1:4" x14ac:dyDescent="0.25">
      <c r="A26" s="4" t="s">
        <v>28</v>
      </c>
      <c r="B26" s="5">
        <v>0</v>
      </c>
      <c r="C26" s="5">
        <v>34363</v>
      </c>
      <c r="D26" s="5">
        <v>35268</v>
      </c>
    </row>
    <row r="27" spans="1:4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x14ac:dyDescent="0.25">
      <c r="A28" s="6" t="s">
        <v>14</v>
      </c>
      <c r="B28" s="7">
        <v>0</v>
      </c>
      <c r="C28" s="7">
        <v>0</v>
      </c>
      <c r="D28" s="7">
        <v>0</v>
      </c>
    </row>
    <row r="29" spans="1:4" x14ac:dyDescent="0.25">
      <c r="A29" s="8" t="s">
        <v>495</v>
      </c>
      <c r="B29" s="9" t="s">
        <v>1328</v>
      </c>
      <c r="C29" s="9">
        <v>41602</v>
      </c>
      <c r="D29" s="9">
        <v>49275</v>
      </c>
    </row>
    <row r="30" spans="1:4" x14ac:dyDescent="0.25">
      <c r="A30" s="6" t="s">
        <v>491</v>
      </c>
      <c r="B30" s="7">
        <v>0</v>
      </c>
      <c r="C30" s="7">
        <v>10482</v>
      </c>
      <c r="D30" s="7">
        <v>9154</v>
      </c>
    </row>
    <row r="31" spans="1:4" x14ac:dyDescent="0.25">
      <c r="A31" s="8" t="s">
        <v>31</v>
      </c>
      <c r="B31" s="9">
        <v>0</v>
      </c>
      <c r="C31" s="9">
        <v>0</v>
      </c>
      <c r="D31" s="9">
        <v>0</v>
      </c>
    </row>
    <row r="32" spans="1:4" x14ac:dyDescent="0.25">
      <c r="A32" s="6" t="s">
        <v>18</v>
      </c>
      <c r="B32" s="7" t="s">
        <v>1324</v>
      </c>
      <c r="C32" s="7">
        <v>4098</v>
      </c>
      <c r="D32" s="7">
        <v>3119</v>
      </c>
    </row>
    <row r="33" spans="1:4" x14ac:dyDescent="0.25">
      <c r="A33" s="8" t="s">
        <v>32</v>
      </c>
      <c r="B33" s="9" t="s">
        <v>1325</v>
      </c>
      <c r="C33" s="9">
        <v>6384</v>
      </c>
      <c r="D33" s="9">
        <v>6035</v>
      </c>
    </row>
    <row r="34" spans="1:4" x14ac:dyDescent="0.25">
      <c r="A34" s="6" t="s">
        <v>19</v>
      </c>
      <c r="B34" s="7">
        <v>0</v>
      </c>
      <c r="C34" s="7">
        <v>0</v>
      </c>
      <c r="D34" s="7">
        <v>0</v>
      </c>
    </row>
    <row r="35" spans="1:4" x14ac:dyDescent="0.25">
      <c r="A35" s="8" t="s">
        <v>20</v>
      </c>
      <c r="B35" s="9">
        <v>0</v>
      </c>
      <c r="C35" s="9">
        <v>0</v>
      </c>
      <c r="D35" s="9">
        <v>0</v>
      </c>
    </row>
    <row r="36" spans="1:4" x14ac:dyDescent="0.25">
      <c r="A36" s="6" t="s">
        <v>21</v>
      </c>
      <c r="B36" s="7">
        <v>0</v>
      </c>
      <c r="C36" s="7">
        <v>0</v>
      </c>
      <c r="D36" s="7">
        <v>0</v>
      </c>
    </row>
    <row r="37" spans="1:4" x14ac:dyDescent="0.25">
      <c r="A37" s="8" t="s">
        <v>33</v>
      </c>
      <c r="B37" s="9">
        <v>0</v>
      </c>
      <c r="C37" s="9">
        <v>0</v>
      </c>
      <c r="D37" s="9">
        <v>0</v>
      </c>
    </row>
    <row r="38" spans="1:4" x14ac:dyDescent="0.25">
      <c r="A38" s="6" t="s">
        <v>496</v>
      </c>
      <c r="B38" s="7" t="s">
        <v>1329</v>
      </c>
      <c r="C38" s="7">
        <v>179354</v>
      </c>
      <c r="D38" s="7">
        <v>201252</v>
      </c>
    </row>
    <row r="39" spans="1:4" x14ac:dyDescent="0.25">
      <c r="A39" s="8" t="s">
        <v>497</v>
      </c>
      <c r="B39" s="9" t="s">
        <v>1330</v>
      </c>
      <c r="C39" s="9">
        <v>8776</v>
      </c>
      <c r="D39" s="9">
        <v>2009</v>
      </c>
    </row>
    <row r="40" spans="1:4" x14ac:dyDescent="0.25">
      <c r="A40" s="6" t="s">
        <v>498</v>
      </c>
      <c r="B40" s="7" t="s">
        <v>1331</v>
      </c>
      <c r="C40" s="7">
        <v>36856</v>
      </c>
      <c r="D40" s="7">
        <v>30546</v>
      </c>
    </row>
    <row r="41" spans="1:4" x14ac:dyDescent="0.25">
      <c r="A41" s="8" t="s">
        <v>499</v>
      </c>
      <c r="B41" s="9">
        <v>0</v>
      </c>
      <c r="C41" s="9">
        <v>0</v>
      </c>
      <c r="D41" s="9">
        <v>0</v>
      </c>
    </row>
    <row r="42" spans="1:4" x14ac:dyDescent="0.25">
      <c r="A42" s="6" t="s">
        <v>37</v>
      </c>
      <c r="B42" s="7">
        <v>0</v>
      </c>
      <c r="C42" s="7">
        <v>0</v>
      </c>
      <c r="D42" s="7">
        <v>0</v>
      </c>
    </row>
    <row r="43" spans="1:4" x14ac:dyDescent="0.25">
      <c r="A43" s="8" t="s">
        <v>492</v>
      </c>
      <c r="B43" s="9" t="s">
        <v>1332</v>
      </c>
      <c r="C43" s="9">
        <v>101186</v>
      </c>
      <c r="D43" s="9">
        <v>115924</v>
      </c>
    </row>
    <row r="44" spans="1:4" x14ac:dyDescent="0.25">
      <c r="A44" s="6" t="s">
        <v>500</v>
      </c>
      <c r="B44" s="7">
        <v>0</v>
      </c>
      <c r="C44" s="7">
        <v>0</v>
      </c>
      <c r="D44" s="7">
        <v>0</v>
      </c>
    </row>
    <row r="45" spans="1:4" x14ac:dyDescent="0.25">
      <c r="A45" s="4" t="s">
        <v>38</v>
      </c>
      <c r="B45" s="5">
        <v>0</v>
      </c>
      <c r="C45" s="5">
        <v>378256</v>
      </c>
      <c r="D45" s="5">
        <v>408160</v>
      </c>
    </row>
    <row r="46" spans="1:4" x14ac:dyDescent="0.25">
      <c r="A46" s="4" t="s">
        <v>39</v>
      </c>
      <c r="B46" s="5">
        <v>0</v>
      </c>
      <c r="C46" s="5">
        <v>412619</v>
      </c>
      <c r="D46" s="5">
        <v>443428</v>
      </c>
    </row>
    <row r="47" spans="1:4" x14ac:dyDescent="0.25">
      <c r="A47" s="4" t="s">
        <v>40</v>
      </c>
      <c r="B47" s="5">
        <v>0</v>
      </c>
      <c r="C47" s="5">
        <v>0</v>
      </c>
      <c r="D47" s="5">
        <v>0</v>
      </c>
    </row>
    <row r="48" spans="1:4" x14ac:dyDescent="0.25">
      <c r="A48" s="4" t="s">
        <v>41</v>
      </c>
      <c r="B48" s="5">
        <v>0</v>
      </c>
      <c r="C48" s="5">
        <v>0</v>
      </c>
      <c r="D48" s="5">
        <v>0</v>
      </c>
    </row>
    <row r="49" spans="1:4" x14ac:dyDescent="0.25">
      <c r="A49" s="8" t="s">
        <v>42</v>
      </c>
      <c r="B49" s="9" t="s">
        <v>1333</v>
      </c>
      <c r="C49" s="9">
        <v>3863</v>
      </c>
      <c r="D49" s="9">
        <v>4322</v>
      </c>
    </row>
    <row r="50" spans="1:4" x14ac:dyDescent="0.25">
      <c r="A50" s="6" t="s">
        <v>501</v>
      </c>
      <c r="B50" s="7">
        <v>0</v>
      </c>
      <c r="C50" s="7">
        <v>34554</v>
      </c>
      <c r="D50" s="7">
        <v>28058</v>
      </c>
    </row>
    <row r="51" spans="1:4" x14ac:dyDescent="0.25">
      <c r="A51" s="8" t="s">
        <v>44</v>
      </c>
      <c r="B51" s="9" t="s">
        <v>1334</v>
      </c>
      <c r="C51" s="9">
        <v>23120</v>
      </c>
      <c r="D51" s="9">
        <v>19302</v>
      </c>
    </row>
    <row r="52" spans="1:4" x14ac:dyDescent="0.25">
      <c r="A52" s="6" t="s">
        <v>46</v>
      </c>
      <c r="B52" s="7" t="s">
        <v>1324</v>
      </c>
      <c r="C52" s="7">
        <v>0</v>
      </c>
      <c r="D52" s="7">
        <v>0</v>
      </c>
    </row>
    <row r="53" spans="1:4" x14ac:dyDescent="0.25">
      <c r="A53" s="8" t="s">
        <v>45</v>
      </c>
      <c r="B53" s="9" t="s">
        <v>1335</v>
      </c>
      <c r="C53" s="9">
        <v>5833</v>
      </c>
      <c r="D53" s="9">
        <v>4615</v>
      </c>
    </row>
    <row r="54" spans="1:4" x14ac:dyDescent="0.25">
      <c r="A54" s="6" t="s">
        <v>56</v>
      </c>
      <c r="B54" s="7" t="s">
        <v>1336</v>
      </c>
      <c r="C54" s="7">
        <v>5601</v>
      </c>
      <c r="D54" s="7">
        <v>4141</v>
      </c>
    </row>
    <row r="55" spans="1:4" x14ac:dyDescent="0.25">
      <c r="A55" s="8" t="s">
        <v>48</v>
      </c>
      <c r="B55" s="9">
        <v>0</v>
      </c>
      <c r="C55" s="9">
        <v>0</v>
      </c>
      <c r="D55" s="9">
        <v>0</v>
      </c>
    </row>
    <row r="56" spans="1:4" x14ac:dyDescent="0.25">
      <c r="A56" s="6" t="s">
        <v>502</v>
      </c>
      <c r="B56" s="7">
        <v>0</v>
      </c>
      <c r="C56" s="7">
        <v>0</v>
      </c>
      <c r="D56" s="7">
        <v>0</v>
      </c>
    </row>
    <row r="57" spans="1:4" x14ac:dyDescent="0.25">
      <c r="A57" s="8" t="s">
        <v>50</v>
      </c>
      <c r="B57" s="9">
        <v>0</v>
      </c>
      <c r="C57" s="9">
        <v>0</v>
      </c>
      <c r="D57" s="9">
        <v>0</v>
      </c>
    </row>
    <row r="58" spans="1:4" x14ac:dyDescent="0.25">
      <c r="A58" s="6" t="s">
        <v>503</v>
      </c>
      <c r="B58" s="7" t="s">
        <v>1337</v>
      </c>
      <c r="C58" s="7">
        <v>10259</v>
      </c>
      <c r="D58" s="7">
        <v>8644</v>
      </c>
    </row>
    <row r="59" spans="1:4" x14ac:dyDescent="0.25">
      <c r="A59" s="8" t="s">
        <v>504</v>
      </c>
      <c r="B59" s="9">
        <v>0</v>
      </c>
      <c r="C59" s="9">
        <v>48676</v>
      </c>
      <c r="D59" s="9">
        <v>41024</v>
      </c>
    </row>
    <row r="60" spans="1:4" x14ac:dyDescent="0.25">
      <c r="A60" s="6" t="s">
        <v>53</v>
      </c>
      <c r="B60" s="7">
        <v>0</v>
      </c>
      <c r="C60" s="7">
        <v>0</v>
      </c>
      <c r="D60" s="7">
        <v>0</v>
      </c>
    </row>
    <row r="61" spans="1:4" x14ac:dyDescent="0.25">
      <c r="A61" s="4" t="s">
        <v>54</v>
      </c>
      <c r="B61" s="5">
        <v>0</v>
      </c>
      <c r="C61" s="5">
        <v>48676</v>
      </c>
      <c r="D61" s="5">
        <v>41024</v>
      </c>
    </row>
    <row r="62" spans="1:4" x14ac:dyDescent="0.25">
      <c r="A62" s="4" t="s">
        <v>55</v>
      </c>
      <c r="B62" s="5">
        <v>0</v>
      </c>
      <c r="C62" s="5">
        <v>0</v>
      </c>
      <c r="D62" s="5">
        <v>0</v>
      </c>
    </row>
    <row r="63" spans="1:4" x14ac:dyDescent="0.25">
      <c r="A63" s="8" t="s">
        <v>42</v>
      </c>
      <c r="B63" s="9" t="s">
        <v>1333</v>
      </c>
      <c r="C63" s="9">
        <v>208153</v>
      </c>
      <c r="D63" s="9">
        <v>219708</v>
      </c>
    </row>
    <row r="64" spans="1:4" x14ac:dyDescent="0.25">
      <c r="A64" s="6" t="s">
        <v>501</v>
      </c>
      <c r="B64" s="7">
        <v>0</v>
      </c>
      <c r="C64" s="7">
        <v>2253</v>
      </c>
      <c r="D64" s="7">
        <v>2997</v>
      </c>
    </row>
    <row r="65" spans="1:4" x14ac:dyDescent="0.25">
      <c r="A65" s="8" t="s">
        <v>44</v>
      </c>
      <c r="B65" s="9">
        <v>0</v>
      </c>
      <c r="C65" s="9">
        <v>0</v>
      </c>
      <c r="D65" s="9">
        <v>0</v>
      </c>
    </row>
    <row r="66" spans="1:4" x14ac:dyDescent="0.25">
      <c r="A66" s="6" t="s">
        <v>46</v>
      </c>
      <c r="B66" s="7" t="s">
        <v>1324</v>
      </c>
      <c r="C66" s="7">
        <v>2253</v>
      </c>
      <c r="D66" s="7">
        <v>2253</v>
      </c>
    </row>
    <row r="67" spans="1:4" x14ac:dyDescent="0.25">
      <c r="A67" s="8" t="s">
        <v>45</v>
      </c>
      <c r="B67" s="9">
        <v>0</v>
      </c>
      <c r="C67" s="9">
        <v>0</v>
      </c>
      <c r="D67" s="9">
        <v>0</v>
      </c>
    </row>
    <row r="68" spans="1:4" x14ac:dyDescent="0.25">
      <c r="A68" s="6" t="s">
        <v>56</v>
      </c>
      <c r="B68" s="7" t="s">
        <v>1338</v>
      </c>
      <c r="C68" s="7">
        <v>0</v>
      </c>
      <c r="D68" s="7">
        <v>744</v>
      </c>
    </row>
    <row r="69" spans="1:4" x14ac:dyDescent="0.25">
      <c r="A69" s="8" t="s">
        <v>48</v>
      </c>
      <c r="B69" s="9">
        <v>0</v>
      </c>
      <c r="C69" s="9">
        <v>0</v>
      </c>
      <c r="D69" s="9">
        <v>0</v>
      </c>
    </row>
    <row r="70" spans="1:4" x14ac:dyDescent="0.25">
      <c r="A70" s="6" t="s">
        <v>502</v>
      </c>
      <c r="B70" s="7">
        <v>0</v>
      </c>
      <c r="C70" s="7">
        <v>0</v>
      </c>
      <c r="D70" s="7">
        <v>0</v>
      </c>
    </row>
    <row r="71" spans="1:4" x14ac:dyDescent="0.25">
      <c r="A71" s="8" t="s">
        <v>505</v>
      </c>
      <c r="B71" s="9">
        <v>0</v>
      </c>
      <c r="C71" s="9">
        <v>0</v>
      </c>
      <c r="D71" s="9">
        <v>0</v>
      </c>
    </row>
    <row r="72" spans="1:4" x14ac:dyDescent="0.25">
      <c r="A72" s="6" t="s">
        <v>506</v>
      </c>
      <c r="B72" s="7">
        <v>0</v>
      </c>
      <c r="C72" s="7">
        <v>0</v>
      </c>
      <c r="D72" s="7">
        <v>0</v>
      </c>
    </row>
    <row r="73" spans="1:4" x14ac:dyDescent="0.25">
      <c r="A73" s="8" t="s">
        <v>503</v>
      </c>
      <c r="B73" s="9" t="s">
        <v>1337</v>
      </c>
      <c r="C73" s="9">
        <v>122186</v>
      </c>
      <c r="D73" s="9">
        <v>143856</v>
      </c>
    </row>
    <row r="74" spans="1:4" x14ac:dyDescent="0.25">
      <c r="A74" s="4" t="s">
        <v>59</v>
      </c>
      <c r="B74" s="5">
        <v>0</v>
      </c>
      <c r="C74" s="5">
        <v>332592</v>
      </c>
      <c r="D74" s="5">
        <v>366561</v>
      </c>
    </row>
    <row r="75" spans="1:4" x14ac:dyDescent="0.25">
      <c r="A75" s="4" t="s">
        <v>60</v>
      </c>
      <c r="B75" s="5">
        <v>0</v>
      </c>
      <c r="C75" s="5">
        <v>381268</v>
      </c>
      <c r="D75" s="5">
        <v>407585</v>
      </c>
    </row>
    <row r="76" spans="1:4" x14ac:dyDescent="0.25">
      <c r="A76" s="4" t="s">
        <v>61</v>
      </c>
      <c r="B76" s="5">
        <v>0</v>
      </c>
      <c r="C76" s="5">
        <v>0</v>
      </c>
      <c r="D76" s="5">
        <v>0</v>
      </c>
    </row>
    <row r="77" spans="1:4" x14ac:dyDescent="0.25">
      <c r="A77" s="8" t="s">
        <v>62</v>
      </c>
      <c r="B77" s="9">
        <v>15</v>
      </c>
      <c r="C77" s="9">
        <v>80534</v>
      </c>
      <c r="D77" s="9">
        <v>80534</v>
      </c>
    </row>
    <row r="78" spans="1:4" x14ac:dyDescent="0.25">
      <c r="A78" s="6" t="s">
        <v>63</v>
      </c>
      <c r="B78" s="7">
        <v>0</v>
      </c>
      <c r="C78" s="7">
        <v>0</v>
      </c>
      <c r="D78" s="7">
        <v>0</v>
      </c>
    </row>
    <row r="79" spans="1:4" x14ac:dyDescent="0.25">
      <c r="A79" s="8" t="s">
        <v>64</v>
      </c>
      <c r="B79" s="9">
        <v>0</v>
      </c>
      <c r="C79" s="9">
        <v>0</v>
      </c>
      <c r="D79" s="9">
        <v>0</v>
      </c>
    </row>
    <row r="80" spans="1:4" x14ac:dyDescent="0.25">
      <c r="A80" s="6" t="s">
        <v>65</v>
      </c>
      <c r="B80" s="7">
        <v>0</v>
      </c>
      <c r="C80" s="7">
        <v>0</v>
      </c>
      <c r="D80" s="7">
        <v>0</v>
      </c>
    </row>
    <row r="81" spans="1:6" x14ac:dyDescent="0.25">
      <c r="A81" s="8" t="s">
        <v>66</v>
      </c>
      <c r="B81" s="9">
        <v>0</v>
      </c>
      <c r="C81" s="9">
        <v>3036</v>
      </c>
      <c r="D81" s="9">
        <v>3036</v>
      </c>
    </row>
    <row r="82" spans="1:6" x14ac:dyDescent="0.25">
      <c r="A82" s="6" t="s">
        <v>67</v>
      </c>
      <c r="B82" s="7">
        <v>0</v>
      </c>
      <c r="C82" s="7" t="s">
        <v>1674</v>
      </c>
      <c r="D82" s="7" t="s">
        <v>1586</v>
      </c>
    </row>
    <row r="83" spans="1:6" x14ac:dyDescent="0.25">
      <c r="A83" s="8" t="s">
        <v>68</v>
      </c>
      <c r="B83" s="9">
        <v>0</v>
      </c>
      <c r="C83" s="9">
        <v>37200</v>
      </c>
      <c r="D83" s="9">
        <v>43964</v>
      </c>
    </row>
    <row r="84" spans="1:6" x14ac:dyDescent="0.25">
      <c r="A84" s="4" t="s">
        <v>71</v>
      </c>
      <c r="B84" s="5">
        <v>0</v>
      </c>
      <c r="C84" s="5">
        <v>31351</v>
      </c>
      <c r="D84" s="5">
        <v>35843</v>
      </c>
    </row>
    <row r="85" spans="1:6" x14ac:dyDescent="0.25">
      <c r="A85" s="4" t="s">
        <v>72</v>
      </c>
      <c r="B85" s="5">
        <v>0</v>
      </c>
      <c r="C85" s="5">
        <v>412619</v>
      </c>
      <c r="D85" s="5">
        <v>443428</v>
      </c>
    </row>
    <row r="88" spans="1:6" ht="15.75" x14ac:dyDescent="0.25">
      <c r="A88" s="2" t="s">
        <v>73</v>
      </c>
    </row>
    <row r="89" spans="1:6" x14ac:dyDescent="0.25">
      <c r="A89" s="3" t="s">
        <v>7</v>
      </c>
      <c r="B89" s="3" t="s">
        <v>8</v>
      </c>
      <c r="C89" s="3" t="s">
        <v>1675</v>
      </c>
      <c r="D89" s="3" t="s">
        <v>1503</v>
      </c>
      <c r="E89" s="3" t="s">
        <v>1676</v>
      </c>
      <c r="F89" s="3" t="s">
        <v>1504</v>
      </c>
    </row>
    <row r="90" spans="1:6" x14ac:dyDescent="0.25">
      <c r="A90" s="4" t="s">
        <v>510</v>
      </c>
      <c r="B90" s="5" t="s">
        <v>1343</v>
      </c>
      <c r="C90" s="5">
        <v>40161</v>
      </c>
      <c r="D90" s="5">
        <v>29569</v>
      </c>
      <c r="E90" s="5">
        <v>152199</v>
      </c>
      <c r="F90" s="5">
        <v>88347</v>
      </c>
    </row>
    <row r="91" spans="1:6" x14ac:dyDescent="0.25">
      <c r="A91" s="8" t="s">
        <v>79</v>
      </c>
      <c r="B91" s="9" t="s">
        <v>1344</v>
      </c>
      <c r="C91" s="9" t="s">
        <v>1677</v>
      </c>
      <c r="D91" s="9" t="s">
        <v>1505</v>
      </c>
      <c r="E91" s="9" t="s">
        <v>1678</v>
      </c>
      <c r="F91" s="9" t="s">
        <v>1507</v>
      </c>
    </row>
    <row r="92" spans="1:6" x14ac:dyDescent="0.25">
      <c r="A92" s="4" t="s">
        <v>82</v>
      </c>
      <c r="B92" s="5">
        <v>0</v>
      </c>
      <c r="C92" s="5">
        <v>10741</v>
      </c>
      <c r="D92" s="5">
        <v>6866</v>
      </c>
      <c r="E92" s="5">
        <v>44100</v>
      </c>
      <c r="F92" s="5">
        <v>10246</v>
      </c>
    </row>
    <row r="93" spans="1:6" x14ac:dyDescent="0.25">
      <c r="A93" s="8" t="s">
        <v>83</v>
      </c>
      <c r="B93" s="9" t="s">
        <v>1348</v>
      </c>
      <c r="C93" s="9" t="s">
        <v>1679</v>
      </c>
      <c r="D93" s="9" t="s">
        <v>1511</v>
      </c>
      <c r="E93" s="9" t="s">
        <v>1680</v>
      </c>
      <c r="F93" s="9" t="s">
        <v>1513</v>
      </c>
    </row>
    <row r="94" spans="1:6" x14ac:dyDescent="0.25">
      <c r="A94" s="6" t="s">
        <v>86</v>
      </c>
      <c r="B94" s="7" t="s">
        <v>1348</v>
      </c>
      <c r="C94" s="7" t="s">
        <v>1681</v>
      </c>
      <c r="D94" s="7" t="s">
        <v>1682</v>
      </c>
      <c r="E94" s="7" t="s">
        <v>1683</v>
      </c>
      <c r="F94" s="7" t="s">
        <v>1684</v>
      </c>
    </row>
    <row r="95" spans="1:6" x14ac:dyDescent="0.25">
      <c r="A95" s="8" t="s">
        <v>90</v>
      </c>
      <c r="B95" s="9" t="s">
        <v>1353</v>
      </c>
      <c r="C95" s="9">
        <v>1599</v>
      </c>
      <c r="D95" s="9">
        <v>1365</v>
      </c>
      <c r="E95" s="9">
        <v>3805</v>
      </c>
      <c r="F95" s="9">
        <v>2842</v>
      </c>
    </row>
    <row r="96" spans="1:6" x14ac:dyDescent="0.25">
      <c r="A96" s="6" t="s">
        <v>91</v>
      </c>
      <c r="B96" s="7" t="s">
        <v>1353</v>
      </c>
      <c r="C96" s="7" t="s">
        <v>1685</v>
      </c>
      <c r="D96" s="7" t="s">
        <v>1519</v>
      </c>
      <c r="E96" s="7" t="s">
        <v>1686</v>
      </c>
      <c r="F96" s="7" t="s">
        <v>1521</v>
      </c>
    </row>
    <row r="97" spans="1:6" x14ac:dyDescent="0.25">
      <c r="A97" s="8" t="s">
        <v>515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</row>
    <row r="98" spans="1:6" x14ac:dyDescent="0.25">
      <c r="A98" s="4" t="s">
        <v>516</v>
      </c>
      <c r="B98" s="5">
        <v>0</v>
      </c>
      <c r="C98" s="5">
        <v>2742</v>
      </c>
      <c r="D98" s="5" t="s">
        <v>1687</v>
      </c>
      <c r="E98" s="5">
        <v>11243</v>
      </c>
      <c r="F98" s="5" t="s">
        <v>1688</v>
      </c>
    </row>
    <row r="99" spans="1:6" x14ac:dyDescent="0.25">
      <c r="A99" s="8" t="s">
        <v>518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</row>
    <row r="100" spans="1:6" x14ac:dyDescent="0.25">
      <c r="A100" s="6" t="s">
        <v>97</v>
      </c>
      <c r="B100" s="7" t="s">
        <v>1356</v>
      </c>
      <c r="C100" s="7">
        <v>185</v>
      </c>
      <c r="D100" s="7">
        <v>77</v>
      </c>
      <c r="E100" s="7">
        <v>439</v>
      </c>
      <c r="F100" s="7">
        <v>319</v>
      </c>
    </row>
    <row r="101" spans="1:6" x14ac:dyDescent="0.25">
      <c r="A101" s="8" t="s">
        <v>519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</row>
    <row r="102" spans="1:6" x14ac:dyDescent="0.25">
      <c r="A102" s="6" t="s">
        <v>98</v>
      </c>
      <c r="B102" s="7" t="s">
        <v>1356</v>
      </c>
      <c r="C102" s="7" t="s">
        <v>1689</v>
      </c>
      <c r="D102" s="7" t="s">
        <v>1528</v>
      </c>
      <c r="E102" s="7" t="s">
        <v>1690</v>
      </c>
      <c r="F102" s="7" t="s">
        <v>1530</v>
      </c>
    </row>
    <row r="103" spans="1:6" x14ac:dyDescent="0.25">
      <c r="A103" s="8" t="s">
        <v>521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</row>
    <row r="104" spans="1:6" x14ac:dyDescent="0.25">
      <c r="A104" s="6" t="s">
        <v>522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</row>
    <row r="105" spans="1:6" x14ac:dyDescent="0.25">
      <c r="A105" s="8" t="s">
        <v>523</v>
      </c>
      <c r="B105" s="9" t="s">
        <v>1358</v>
      </c>
      <c r="C105" s="9">
        <v>13358</v>
      </c>
      <c r="D105" s="9">
        <v>14957</v>
      </c>
      <c r="E105" s="9">
        <v>16578</v>
      </c>
      <c r="F105" s="9" t="s">
        <v>1691</v>
      </c>
    </row>
    <row r="106" spans="1:6" x14ac:dyDescent="0.25">
      <c r="A106" s="6" t="s">
        <v>524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</row>
    <row r="107" spans="1:6" x14ac:dyDescent="0.25">
      <c r="A107" s="8" t="s">
        <v>525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</row>
    <row r="108" spans="1:6" x14ac:dyDescent="0.25">
      <c r="A108" s="6" t="s">
        <v>526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</row>
    <row r="109" spans="1:6" x14ac:dyDescent="0.25">
      <c r="A109" s="8" t="s">
        <v>527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</row>
    <row r="110" spans="1:6" x14ac:dyDescent="0.25">
      <c r="A110" s="4" t="s">
        <v>528</v>
      </c>
      <c r="B110" s="5">
        <v>0</v>
      </c>
      <c r="C110" s="5">
        <v>9871</v>
      </c>
      <c r="D110" s="5">
        <v>6139</v>
      </c>
      <c r="E110" s="5">
        <v>3086</v>
      </c>
      <c r="F110" s="5" t="s">
        <v>1692</v>
      </c>
    </row>
    <row r="111" spans="1:6" x14ac:dyDescent="0.25">
      <c r="A111" s="8" t="s">
        <v>530</v>
      </c>
      <c r="B111" s="9" t="s">
        <v>1361</v>
      </c>
      <c r="C111" s="9" t="s">
        <v>1693</v>
      </c>
      <c r="D111" s="9">
        <v>17931</v>
      </c>
      <c r="E111" s="9" t="s">
        <v>1694</v>
      </c>
      <c r="F111" s="9">
        <v>42574</v>
      </c>
    </row>
    <row r="112" spans="1:6" x14ac:dyDescent="0.25">
      <c r="A112" s="6" t="s">
        <v>531</v>
      </c>
      <c r="B112" s="7">
        <v>0</v>
      </c>
      <c r="C112" s="7" t="s">
        <v>1695</v>
      </c>
      <c r="D112" s="7">
        <v>24070</v>
      </c>
      <c r="E112" s="7">
        <v>2272</v>
      </c>
      <c r="F112" s="7" t="s">
        <v>1696</v>
      </c>
    </row>
    <row r="113" spans="1:6" x14ac:dyDescent="0.25">
      <c r="A113" s="8" t="s">
        <v>532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</row>
    <row r="114" spans="1:6" x14ac:dyDescent="0.25">
      <c r="A114" s="4" t="s">
        <v>114</v>
      </c>
      <c r="B114" s="5">
        <v>0</v>
      </c>
      <c r="C114" s="5" t="s">
        <v>1695</v>
      </c>
      <c r="D114" s="5">
        <v>24070</v>
      </c>
      <c r="E114" s="5">
        <v>2272</v>
      </c>
      <c r="F114" s="5" t="s">
        <v>1696</v>
      </c>
    </row>
    <row r="115" spans="1:6" x14ac:dyDescent="0.25">
      <c r="A115" s="4" t="s">
        <v>115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25">
      <c r="A116" s="4" t="s">
        <v>533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25">
      <c r="A117" s="8" t="s">
        <v>534</v>
      </c>
      <c r="B117" s="9">
        <v>23</v>
      </c>
      <c r="C117" s="9" t="s">
        <v>1697</v>
      </c>
      <c r="D117" s="9">
        <v>0.33500000000000002</v>
      </c>
      <c r="E117" s="9">
        <v>3.2000000000000001E-2</v>
      </c>
      <c r="F117" s="9" t="s">
        <v>1698</v>
      </c>
    </row>
    <row r="118" spans="1:6" x14ac:dyDescent="0.25">
      <c r="A118" s="6" t="s">
        <v>537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</row>
    <row r="119" spans="1:6" x14ac:dyDescent="0.25">
      <c r="A119" s="8" t="s">
        <v>538</v>
      </c>
      <c r="B119" s="9">
        <v>0</v>
      </c>
      <c r="C119" s="9" t="s">
        <v>1697</v>
      </c>
      <c r="D119" s="9">
        <v>0.33500000000000002</v>
      </c>
      <c r="E119" s="9">
        <v>3.2000000000000001E-2</v>
      </c>
      <c r="F119" s="9" t="s">
        <v>1698</v>
      </c>
    </row>
    <row r="120" spans="1:6" x14ac:dyDescent="0.25">
      <c r="A120" s="6" t="s">
        <v>122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</row>
    <row r="121" spans="1:6" x14ac:dyDescent="0.25">
      <c r="A121" s="8" t="s">
        <v>123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</row>
    <row r="122" spans="1:6" x14ac:dyDescent="0.25">
      <c r="A122" s="6" t="s">
        <v>539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</row>
    <row r="123" spans="1:6" x14ac:dyDescent="0.25">
      <c r="A123" s="4" t="s">
        <v>540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</row>
    <row r="124" spans="1:6" x14ac:dyDescent="0.25">
      <c r="A124" s="6" t="s">
        <v>541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</row>
    <row r="125" spans="1:6" x14ac:dyDescent="0.25">
      <c r="A125" s="8" t="s">
        <v>542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</row>
    <row r="126" spans="1:6" x14ac:dyDescent="0.25">
      <c r="A126" s="6" t="s">
        <v>543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</row>
    <row r="127" spans="1:6" x14ac:dyDescent="0.25">
      <c r="A127" s="8" t="s">
        <v>129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</row>
    <row r="128" spans="1:6" x14ac:dyDescent="0.25">
      <c r="A128" s="6" t="s">
        <v>130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</row>
    <row r="129" spans="1:24" x14ac:dyDescent="0.25">
      <c r="A129" s="8" t="s">
        <v>544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</row>
    <row r="132" spans="1:24" ht="15.75" x14ac:dyDescent="0.25">
      <c r="A132" s="2" t="s">
        <v>132</v>
      </c>
    </row>
    <row r="133" spans="1:24" x14ac:dyDescent="0.25">
      <c r="A133" s="3" t="s">
        <v>7</v>
      </c>
      <c r="B133" s="3" t="s">
        <v>62</v>
      </c>
      <c r="C133" s="3" t="s">
        <v>63</v>
      </c>
      <c r="D133" s="3" t="s">
        <v>64</v>
      </c>
      <c r="E133" s="3" t="s">
        <v>65</v>
      </c>
      <c r="F133" s="3" t="s">
        <v>66</v>
      </c>
      <c r="G133" s="3" t="s">
        <v>67</v>
      </c>
      <c r="H133" s="3" t="s">
        <v>545</v>
      </c>
      <c r="I133" s="3" t="s">
        <v>138</v>
      </c>
      <c r="J133" s="3" t="s">
        <v>546</v>
      </c>
      <c r="K133" s="3" t="s">
        <v>547</v>
      </c>
      <c r="L133" s="3" t="s">
        <v>548</v>
      </c>
      <c r="M133" s="3" t="s">
        <v>549</v>
      </c>
      <c r="N133" s="3" t="s">
        <v>550</v>
      </c>
      <c r="O133" s="3" t="s">
        <v>551</v>
      </c>
      <c r="P133" s="3" t="s">
        <v>136</v>
      </c>
      <c r="Q133" s="3" t="s">
        <v>552</v>
      </c>
      <c r="R133" s="3" t="s">
        <v>553</v>
      </c>
      <c r="S133" s="3" t="s">
        <v>554</v>
      </c>
      <c r="T133" s="3" t="s">
        <v>555</v>
      </c>
      <c r="U133" s="3" t="s">
        <v>556</v>
      </c>
      <c r="V133" s="3" t="s">
        <v>557</v>
      </c>
      <c r="W133" s="3" t="s">
        <v>68</v>
      </c>
      <c r="X133" s="3" t="s">
        <v>71</v>
      </c>
    </row>
    <row r="134" spans="1:24" x14ac:dyDescent="0.25">
      <c r="A134" s="6" t="s">
        <v>1365</v>
      </c>
      <c r="B134" s="7">
        <v>70662</v>
      </c>
      <c r="C134" s="7">
        <v>0</v>
      </c>
      <c r="D134" s="7">
        <v>0</v>
      </c>
      <c r="E134" s="7">
        <v>0</v>
      </c>
      <c r="F134" s="7">
        <v>3036</v>
      </c>
      <c r="G134" s="7" t="s">
        <v>1340</v>
      </c>
      <c r="H134" s="7">
        <v>0</v>
      </c>
      <c r="I134" s="7">
        <v>6048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6048</v>
      </c>
      <c r="X134" s="7">
        <v>23627</v>
      </c>
    </row>
    <row r="135" spans="1:24" x14ac:dyDescent="0.25">
      <c r="A135" s="8" t="s">
        <v>558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</row>
    <row r="136" spans="1:24" x14ac:dyDescent="0.25">
      <c r="A136" s="6" t="s">
        <v>559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</row>
    <row r="137" spans="1:24" x14ac:dyDescent="0.25">
      <c r="A137" s="8" t="s">
        <v>145</v>
      </c>
      <c r="B137" s="9">
        <v>70662</v>
      </c>
      <c r="C137" s="9">
        <v>0</v>
      </c>
      <c r="D137" s="9">
        <v>0</v>
      </c>
      <c r="E137" s="9">
        <v>0</v>
      </c>
      <c r="F137" s="9">
        <v>3036</v>
      </c>
      <c r="G137" s="9" t="s">
        <v>1340</v>
      </c>
      <c r="H137" s="9">
        <v>0</v>
      </c>
      <c r="I137" s="9">
        <v>6048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6048</v>
      </c>
      <c r="X137" s="9">
        <v>23627</v>
      </c>
    </row>
    <row r="138" spans="1:24" x14ac:dyDescent="0.25">
      <c r="A138" s="6" t="s">
        <v>146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</row>
    <row r="139" spans="1:24" x14ac:dyDescent="0.25">
      <c r="A139" s="8" t="s">
        <v>147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</row>
    <row r="140" spans="1:24" x14ac:dyDescent="0.25">
      <c r="A140" s="6" t="s">
        <v>560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 t="s">
        <v>1696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 t="s">
        <v>1696</v>
      </c>
    </row>
    <row r="141" spans="1:24" x14ac:dyDescent="0.25">
      <c r="A141" s="8" t="s">
        <v>561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21819</v>
      </c>
      <c r="J141" s="9">
        <v>0</v>
      </c>
      <c r="K141" s="9">
        <v>0</v>
      </c>
      <c r="L141" s="9">
        <v>0</v>
      </c>
      <c r="M141" s="9">
        <v>16097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37916</v>
      </c>
      <c r="X141" s="9">
        <v>37916</v>
      </c>
    </row>
    <row r="142" spans="1:24" x14ac:dyDescent="0.25">
      <c r="A142" s="6" t="s">
        <v>562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 t="s">
        <v>1696</v>
      </c>
      <c r="H142" s="7">
        <v>0</v>
      </c>
      <c r="I142" s="7">
        <v>21819</v>
      </c>
      <c r="J142" s="7">
        <v>0</v>
      </c>
      <c r="K142" s="7">
        <v>0</v>
      </c>
      <c r="L142" s="7">
        <v>0</v>
      </c>
      <c r="M142" s="7">
        <v>16097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37916</v>
      </c>
      <c r="X142" s="7">
        <v>2344</v>
      </c>
    </row>
    <row r="143" spans="1:24" x14ac:dyDescent="0.25">
      <c r="A143" s="8" t="s">
        <v>153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</row>
    <row r="144" spans="1:24" x14ac:dyDescent="0.25">
      <c r="A144" s="6" t="s">
        <v>154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 t="s">
        <v>155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</row>
    <row r="146" spans="1:24" x14ac:dyDescent="0.25">
      <c r="A146" s="6" t="s">
        <v>156</v>
      </c>
      <c r="B146" s="7">
        <v>9872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9872</v>
      </c>
    </row>
    <row r="147" spans="1:24" x14ac:dyDescent="0.25">
      <c r="A147" s="8" t="s">
        <v>157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</row>
    <row r="148" spans="1:24" x14ac:dyDescent="0.25">
      <c r="A148" s="6" t="s">
        <v>563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 t="s">
        <v>564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</row>
    <row r="150" spans="1:24" x14ac:dyDescent="0.25">
      <c r="A150" s="6" t="s">
        <v>565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 t="s">
        <v>566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</row>
    <row r="152" spans="1:24" x14ac:dyDescent="0.25">
      <c r="A152" s="6" t="s">
        <v>567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</row>
    <row r="153" spans="1:24" x14ac:dyDescent="0.25">
      <c r="A153" s="8" t="s">
        <v>568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</row>
    <row r="154" spans="1:24" x14ac:dyDescent="0.25">
      <c r="A154" s="6" t="s">
        <v>569</v>
      </c>
      <c r="B154" s="7">
        <v>0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 t="s">
        <v>570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</row>
    <row r="156" spans="1:24" x14ac:dyDescent="0.25">
      <c r="A156" s="6" t="s">
        <v>161</v>
      </c>
      <c r="B156" s="7">
        <v>9872</v>
      </c>
      <c r="C156" s="7">
        <v>0</v>
      </c>
      <c r="D156" s="7">
        <v>0</v>
      </c>
      <c r="E156" s="7">
        <v>0</v>
      </c>
      <c r="F156" s="7">
        <v>0</v>
      </c>
      <c r="G156" s="7" t="s">
        <v>1696</v>
      </c>
      <c r="H156" s="7">
        <v>0</v>
      </c>
      <c r="I156" s="7">
        <v>21819</v>
      </c>
      <c r="J156" s="7">
        <v>0</v>
      </c>
      <c r="K156" s="7">
        <v>0</v>
      </c>
      <c r="L156" s="7">
        <v>0</v>
      </c>
      <c r="M156" s="7">
        <v>16097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37916</v>
      </c>
      <c r="X156" s="7">
        <v>12216</v>
      </c>
    </row>
    <row r="157" spans="1:24" x14ac:dyDescent="0.25">
      <c r="A157" s="8" t="s">
        <v>1551</v>
      </c>
      <c r="B157" s="9">
        <v>80534</v>
      </c>
      <c r="C157" s="9">
        <v>0</v>
      </c>
      <c r="D157" s="9">
        <v>0</v>
      </c>
      <c r="E157" s="9">
        <v>0</v>
      </c>
      <c r="F157" s="9">
        <v>3036</v>
      </c>
      <c r="G157" s="9" t="s">
        <v>1586</v>
      </c>
      <c r="H157" s="9">
        <v>0</v>
      </c>
      <c r="I157" s="9">
        <v>27867</v>
      </c>
      <c r="J157" s="9">
        <v>0</v>
      </c>
      <c r="K157" s="9">
        <v>0</v>
      </c>
      <c r="L157" s="9">
        <v>0</v>
      </c>
      <c r="M157" s="9">
        <v>16097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43964</v>
      </c>
      <c r="X157" s="9">
        <v>35843</v>
      </c>
    </row>
    <row r="158" spans="1:24" x14ac:dyDescent="0.25">
      <c r="A158" s="6" t="s">
        <v>1595</v>
      </c>
      <c r="B158" s="7">
        <v>80534</v>
      </c>
      <c r="C158" s="7">
        <v>0</v>
      </c>
      <c r="D158" s="7">
        <v>0</v>
      </c>
      <c r="E158" s="7">
        <v>0</v>
      </c>
      <c r="F158" s="7">
        <v>3036</v>
      </c>
      <c r="G158" s="7" t="s">
        <v>1586</v>
      </c>
      <c r="H158" s="7">
        <v>0</v>
      </c>
      <c r="I158" s="7">
        <v>27867</v>
      </c>
      <c r="J158" s="7">
        <v>0</v>
      </c>
      <c r="K158" s="7">
        <v>0</v>
      </c>
      <c r="L158" s="7">
        <v>0</v>
      </c>
      <c r="M158" s="7">
        <v>16097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43964</v>
      </c>
      <c r="X158" s="7">
        <v>35843</v>
      </c>
    </row>
    <row r="159" spans="1:24" x14ac:dyDescent="0.25">
      <c r="A159" s="8" t="s">
        <v>558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</row>
    <row r="160" spans="1:24" x14ac:dyDescent="0.25">
      <c r="A160" s="6" t="s">
        <v>559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 t="s">
        <v>145</v>
      </c>
      <c r="B161" s="9">
        <v>80534</v>
      </c>
      <c r="C161" s="9">
        <v>0</v>
      </c>
      <c r="D161" s="9">
        <v>0</v>
      </c>
      <c r="E161" s="9">
        <v>0</v>
      </c>
      <c r="F161" s="9">
        <v>3036</v>
      </c>
      <c r="G161" s="9" t="s">
        <v>1586</v>
      </c>
      <c r="H161" s="9">
        <v>0</v>
      </c>
      <c r="I161" s="9">
        <v>27867</v>
      </c>
      <c r="J161" s="9">
        <v>0</v>
      </c>
      <c r="K161" s="9">
        <v>0</v>
      </c>
      <c r="L161" s="9">
        <v>0</v>
      </c>
      <c r="M161" s="9">
        <v>16097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43964</v>
      </c>
      <c r="X161" s="9">
        <v>35843</v>
      </c>
    </row>
    <row r="162" spans="1:24" x14ac:dyDescent="0.25">
      <c r="A162" s="6" t="s">
        <v>146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 t="s">
        <v>147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</row>
    <row r="164" spans="1:24" x14ac:dyDescent="0.25">
      <c r="A164" s="6" t="s">
        <v>560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2272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2272</v>
      </c>
    </row>
    <row r="165" spans="1:24" x14ac:dyDescent="0.25">
      <c r="A165" s="8" t="s">
        <v>561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3476</v>
      </c>
      <c r="J165" s="9">
        <v>0</v>
      </c>
      <c r="K165" s="9">
        <v>0</v>
      </c>
      <c r="L165" s="9">
        <v>0</v>
      </c>
      <c r="M165" s="9" t="s">
        <v>1699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 t="s">
        <v>1700</v>
      </c>
      <c r="X165" s="9" t="s">
        <v>1700</v>
      </c>
    </row>
    <row r="166" spans="1:24" x14ac:dyDescent="0.25">
      <c r="A166" s="6" t="s">
        <v>562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2272</v>
      </c>
      <c r="H166" s="7">
        <v>0</v>
      </c>
      <c r="I166" s="7">
        <v>3476</v>
      </c>
      <c r="J166" s="7">
        <v>0</v>
      </c>
      <c r="K166" s="7">
        <v>0</v>
      </c>
      <c r="L166" s="7">
        <v>0</v>
      </c>
      <c r="M166" s="7" t="s">
        <v>1699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 t="s">
        <v>1700</v>
      </c>
      <c r="X166" s="7" t="s">
        <v>1701</v>
      </c>
    </row>
    <row r="167" spans="1:24" x14ac:dyDescent="0.25">
      <c r="A167" s="8" t="s">
        <v>153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</row>
    <row r="168" spans="1:24" x14ac:dyDescent="0.25">
      <c r="A168" s="6" t="s">
        <v>154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 t="s">
        <v>155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</row>
    <row r="170" spans="1:24" x14ac:dyDescent="0.25">
      <c r="A170" s="6" t="s">
        <v>156</v>
      </c>
      <c r="B170" s="7">
        <v>0</v>
      </c>
      <c r="C170" s="7">
        <v>0</v>
      </c>
      <c r="D170" s="7">
        <v>0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</row>
    <row r="171" spans="1:24" x14ac:dyDescent="0.25">
      <c r="A171" s="8" t="s">
        <v>157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</row>
    <row r="172" spans="1:24" x14ac:dyDescent="0.25">
      <c r="A172" s="6" t="s">
        <v>563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1:24" x14ac:dyDescent="0.25">
      <c r="A173" s="8" t="s">
        <v>564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</row>
    <row r="174" spans="1:24" x14ac:dyDescent="0.25">
      <c r="A174" s="6" t="s">
        <v>565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</row>
    <row r="175" spans="1:24" x14ac:dyDescent="0.25">
      <c r="A175" s="8" t="s">
        <v>566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</row>
    <row r="176" spans="1:24" x14ac:dyDescent="0.25">
      <c r="A176" s="6" t="s">
        <v>567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</row>
    <row r="177" spans="1:24" x14ac:dyDescent="0.25">
      <c r="A177" s="8" t="s">
        <v>568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</row>
    <row r="178" spans="1:24" x14ac:dyDescent="0.25">
      <c r="A178" s="6" t="s">
        <v>569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</row>
    <row r="179" spans="1:24" x14ac:dyDescent="0.25">
      <c r="A179" s="8" t="s">
        <v>570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</row>
    <row r="180" spans="1:24" x14ac:dyDescent="0.25">
      <c r="A180" s="6" t="s">
        <v>161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2272</v>
      </c>
      <c r="H180" s="7">
        <v>0</v>
      </c>
      <c r="I180" s="7">
        <v>3476</v>
      </c>
      <c r="J180" s="7">
        <v>0</v>
      </c>
      <c r="K180" s="7">
        <v>0</v>
      </c>
      <c r="L180" s="7">
        <v>0</v>
      </c>
      <c r="M180" s="7" t="s">
        <v>1699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 t="s">
        <v>1700</v>
      </c>
      <c r="X180" s="7" t="s">
        <v>1701</v>
      </c>
    </row>
    <row r="181" spans="1:24" x14ac:dyDescent="0.25">
      <c r="A181" s="8" t="s">
        <v>1702</v>
      </c>
      <c r="B181" s="9">
        <v>80534</v>
      </c>
      <c r="C181" s="9">
        <v>0</v>
      </c>
      <c r="D181" s="9">
        <v>0</v>
      </c>
      <c r="E181" s="9">
        <v>0</v>
      </c>
      <c r="F181" s="9">
        <v>3036</v>
      </c>
      <c r="G181" s="9" t="s">
        <v>1674</v>
      </c>
      <c r="H181" s="9">
        <v>0</v>
      </c>
      <c r="I181" s="9">
        <v>31343</v>
      </c>
      <c r="J181" s="9">
        <v>0</v>
      </c>
      <c r="K181" s="9">
        <v>0</v>
      </c>
      <c r="L181" s="9">
        <v>0</v>
      </c>
      <c r="M181" s="9">
        <v>5857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37200</v>
      </c>
      <c r="X181" s="9">
        <v>31351</v>
      </c>
    </row>
    <row r="184" spans="1:24" ht="15.75" x14ac:dyDescent="0.25">
      <c r="A184" s="2" t="s">
        <v>167</v>
      </c>
    </row>
    <row r="185" spans="1:24" x14ac:dyDescent="0.25">
      <c r="A185" s="3" t="s">
        <v>7</v>
      </c>
      <c r="B185" s="3" t="s">
        <v>8</v>
      </c>
      <c r="C185" s="3" t="s">
        <v>1703</v>
      </c>
      <c r="D185" s="3" t="s">
        <v>1552</v>
      </c>
    </row>
    <row r="186" spans="1:24" x14ac:dyDescent="0.25">
      <c r="A186" s="4" t="s">
        <v>578</v>
      </c>
      <c r="B186" s="5">
        <v>0</v>
      </c>
      <c r="C186" s="5">
        <v>0</v>
      </c>
      <c r="D186" s="5">
        <v>0</v>
      </c>
    </row>
    <row r="187" spans="1:24" x14ac:dyDescent="0.25">
      <c r="A187" s="4" t="s">
        <v>579</v>
      </c>
      <c r="B187" s="5">
        <v>0</v>
      </c>
      <c r="C187" s="5">
        <v>0</v>
      </c>
      <c r="D187" s="5">
        <v>0</v>
      </c>
    </row>
    <row r="188" spans="1:24" x14ac:dyDescent="0.25">
      <c r="A188" s="6" t="s">
        <v>172</v>
      </c>
      <c r="B188" s="7">
        <v>0</v>
      </c>
      <c r="C188" s="7">
        <v>153453</v>
      </c>
      <c r="D188" s="7">
        <v>91909</v>
      </c>
    </row>
    <row r="189" spans="1:24" x14ac:dyDescent="0.25">
      <c r="A189" s="8" t="s">
        <v>580</v>
      </c>
      <c r="B189" s="9">
        <v>0</v>
      </c>
      <c r="C189" s="9">
        <v>0</v>
      </c>
      <c r="D189" s="9">
        <v>0</v>
      </c>
    </row>
    <row r="190" spans="1:24" x14ac:dyDescent="0.25">
      <c r="A190" s="6" t="s">
        <v>581</v>
      </c>
      <c r="B190" s="7">
        <v>0</v>
      </c>
      <c r="C190" s="7">
        <v>0</v>
      </c>
      <c r="D190" s="7">
        <v>0</v>
      </c>
    </row>
    <row r="191" spans="1:24" x14ac:dyDescent="0.25">
      <c r="A191" s="8" t="s">
        <v>582</v>
      </c>
      <c r="B191" s="9">
        <v>0</v>
      </c>
      <c r="C191" s="9">
        <v>0</v>
      </c>
      <c r="D191" s="9">
        <v>0</v>
      </c>
    </row>
    <row r="192" spans="1:24" x14ac:dyDescent="0.25">
      <c r="A192" s="6" t="s">
        <v>583</v>
      </c>
      <c r="B192" s="7">
        <v>0</v>
      </c>
      <c r="C192" s="7">
        <v>0</v>
      </c>
      <c r="D192" s="7">
        <v>0</v>
      </c>
    </row>
    <row r="193" spans="1:4" x14ac:dyDescent="0.25">
      <c r="A193" s="4" t="s">
        <v>584</v>
      </c>
      <c r="B193" s="5">
        <v>0</v>
      </c>
      <c r="C193" s="5">
        <v>0</v>
      </c>
      <c r="D193" s="5">
        <v>0</v>
      </c>
    </row>
    <row r="194" spans="1:4" x14ac:dyDescent="0.25">
      <c r="A194" s="6" t="s">
        <v>178</v>
      </c>
      <c r="B194" s="7">
        <v>0</v>
      </c>
      <c r="C194" s="7" t="s">
        <v>1704</v>
      </c>
      <c r="D194" s="7" t="s">
        <v>1553</v>
      </c>
    </row>
    <row r="195" spans="1:4" x14ac:dyDescent="0.25">
      <c r="A195" s="8" t="s">
        <v>581</v>
      </c>
      <c r="B195" s="9">
        <v>0</v>
      </c>
      <c r="C195" s="9">
        <v>0</v>
      </c>
      <c r="D195" s="9">
        <v>0</v>
      </c>
    </row>
    <row r="196" spans="1:4" x14ac:dyDescent="0.25">
      <c r="A196" s="6" t="s">
        <v>586</v>
      </c>
      <c r="B196" s="7">
        <v>0</v>
      </c>
      <c r="C196" s="7" t="s">
        <v>1705</v>
      </c>
      <c r="D196" s="7" t="s">
        <v>1555</v>
      </c>
    </row>
    <row r="197" spans="1:4" x14ac:dyDescent="0.25">
      <c r="A197" s="8" t="s">
        <v>588</v>
      </c>
      <c r="B197" s="9">
        <v>0</v>
      </c>
      <c r="C197" s="9">
        <v>0</v>
      </c>
      <c r="D197" s="9">
        <v>0</v>
      </c>
    </row>
    <row r="198" spans="1:4" x14ac:dyDescent="0.25">
      <c r="A198" s="6" t="s">
        <v>589</v>
      </c>
      <c r="B198" s="7">
        <v>0</v>
      </c>
      <c r="C198" s="7" t="s">
        <v>1706</v>
      </c>
      <c r="D198" s="7" t="s">
        <v>1707</v>
      </c>
    </row>
    <row r="199" spans="1:4" x14ac:dyDescent="0.25">
      <c r="A199" s="8" t="s">
        <v>591</v>
      </c>
      <c r="B199" s="9">
        <v>0</v>
      </c>
      <c r="C199" s="9">
        <v>47719</v>
      </c>
      <c r="D199" s="9">
        <v>17244</v>
      </c>
    </row>
    <row r="200" spans="1:4" x14ac:dyDescent="0.25">
      <c r="A200" s="6" t="s">
        <v>593</v>
      </c>
      <c r="B200" s="7">
        <v>0</v>
      </c>
      <c r="C200" s="7">
        <v>0</v>
      </c>
      <c r="D200" s="7">
        <v>0</v>
      </c>
    </row>
    <row r="201" spans="1:4" x14ac:dyDescent="0.25">
      <c r="A201" s="8" t="s">
        <v>594</v>
      </c>
      <c r="B201" s="9">
        <v>0</v>
      </c>
      <c r="C201" s="9">
        <v>0</v>
      </c>
      <c r="D201" s="9">
        <v>0</v>
      </c>
    </row>
    <row r="202" spans="1:4" x14ac:dyDescent="0.25">
      <c r="A202" s="6" t="s">
        <v>193</v>
      </c>
      <c r="B202" s="7">
        <v>0</v>
      </c>
      <c r="C202" s="7">
        <v>0</v>
      </c>
      <c r="D202" s="7">
        <v>0</v>
      </c>
    </row>
    <row r="203" spans="1:4" x14ac:dyDescent="0.25">
      <c r="A203" s="8" t="s">
        <v>595</v>
      </c>
      <c r="B203" s="9">
        <v>0</v>
      </c>
      <c r="C203" s="9">
        <v>0</v>
      </c>
      <c r="D203" s="9">
        <v>0</v>
      </c>
    </row>
    <row r="204" spans="1:4" x14ac:dyDescent="0.25">
      <c r="A204" s="6" t="s">
        <v>596</v>
      </c>
      <c r="B204" s="7">
        <v>0</v>
      </c>
      <c r="C204" s="7" t="s">
        <v>1708</v>
      </c>
      <c r="D204" s="7" t="s">
        <v>1559</v>
      </c>
    </row>
    <row r="205" spans="1:4" x14ac:dyDescent="0.25">
      <c r="A205" s="8" t="s">
        <v>597</v>
      </c>
      <c r="B205" s="9">
        <v>0</v>
      </c>
      <c r="C205" s="9">
        <v>0</v>
      </c>
      <c r="D205" s="9">
        <v>0</v>
      </c>
    </row>
    <row r="206" spans="1:4" x14ac:dyDescent="0.25">
      <c r="A206" s="4" t="s">
        <v>598</v>
      </c>
      <c r="B206" s="5">
        <v>0</v>
      </c>
      <c r="C206" s="5">
        <v>40330</v>
      </c>
      <c r="D206" s="5">
        <v>12265</v>
      </c>
    </row>
    <row r="207" spans="1:4" x14ac:dyDescent="0.25">
      <c r="A207" s="4" t="s">
        <v>599</v>
      </c>
      <c r="B207" s="5">
        <v>0</v>
      </c>
      <c r="C207" s="5">
        <v>0</v>
      </c>
      <c r="D207" s="5">
        <v>0</v>
      </c>
    </row>
    <row r="208" spans="1:4" x14ac:dyDescent="0.25">
      <c r="A208" s="4" t="s">
        <v>600</v>
      </c>
      <c r="B208" s="5">
        <v>0</v>
      </c>
      <c r="C208" s="5">
        <v>0</v>
      </c>
      <c r="D208" s="5">
        <v>0</v>
      </c>
    </row>
    <row r="209" spans="1:4" x14ac:dyDescent="0.25">
      <c r="A209" s="8" t="s">
        <v>601</v>
      </c>
      <c r="B209" s="9">
        <v>0</v>
      </c>
      <c r="C209" s="9">
        <v>0</v>
      </c>
      <c r="D209" s="9">
        <v>0</v>
      </c>
    </row>
    <row r="210" spans="1:4" x14ac:dyDescent="0.25">
      <c r="A210" s="6" t="s">
        <v>602</v>
      </c>
      <c r="B210" s="7">
        <v>0</v>
      </c>
      <c r="C210" s="7">
        <v>0</v>
      </c>
      <c r="D210" s="7">
        <v>0</v>
      </c>
    </row>
    <row r="211" spans="1:4" x14ac:dyDescent="0.25">
      <c r="A211" s="8" t="s">
        <v>603</v>
      </c>
      <c r="B211" s="9">
        <v>0</v>
      </c>
      <c r="C211" s="9">
        <v>0</v>
      </c>
      <c r="D211" s="9">
        <v>0</v>
      </c>
    </row>
    <row r="212" spans="1:4" x14ac:dyDescent="0.25">
      <c r="A212" s="6" t="s">
        <v>604</v>
      </c>
      <c r="B212" s="7">
        <v>0</v>
      </c>
      <c r="C212" s="7">
        <v>0</v>
      </c>
      <c r="D212" s="7">
        <v>0</v>
      </c>
    </row>
    <row r="213" spans="1:4" x14ac:dyDescent="0.25">
      <c r="A213" s="8" t="s">
        <v>605</v>
      </c>
      <c r="B213" s="9">
        <v>0</v>
      </c>
      <c r="C213" s="9">
        <v>0</v>
      </c>
      <c r="D213" s="9">
        <v>0</v>
      </c>
    </row>
    <row r="214" spans="1:4" x14ac:dyDescent="0.25">
      <c r="A214" s="6" t="s">
        <v>606</v>
      </c>
      <c r="B214" s="7">
        <v>0</v>
      </c>
      <c r="C214" s="7">
        <v>0</v>
      </c>
      <c r="D214" s="7">
        <v>0</v>
      </c>
    </row>
    <row r="215" spans="1:4" x14ac:dyDescent="0.25">
      <c r="A215" s="8" t="s">
        <v>208</v>
      </c>
      <c r="B215" s="9">
        <v>0</v>
      </c>
      <c r="C215" s="9">
        <v>0</v>
      </c>
      <c r="D215" s="9">
        <v>0</v>
      </c>
    </row>
    <row r="216" spans="1:4" x14ac:dyDescent="0.25">
      <c r="A216" s="6" t="s">
        <v>209</v>
      </c>
      <c r="B216" s="7">
        <v>0</v>
      </c>
      <c r="C216" s="7">
        <v>0</v>
      </c>
      <c r="D216" s="7">
        <v>0</v>
      </c>
    </row>
    <row r="217" spans="1:4" x14ac:dyDescent="0.25">
      <c r="A217" s="8" t="s">
        <v>607</v>
      </c>
      <c r="B217" s="9">
        <v>0</v>
      </c>
      <c r="C217" s="9">
        <v>0</v>
      </c>
      <c r="D217" s="9">
        <v>0</v>
      </c>
    </row>
    <row r="218" spans="1:4" x14ac:dyDescent="0.25">
      <c r="A218" s="6" t="s">
        <v>608</v>
      </c>
      <c r="B218" s="7">
        <v>0</v>
      </c>
      <c r="C218" s="7">
        <v>0</v>
      </c>
      <c r="D218" s="7">
        <v>0</v>
      </c>
    </row>
    <row r="219" spans="1:4" x14ac:dyDescent="0.25">
      <c r="A219" s="8" t="s">
        <v>212</v>
      </c>
      <c r="B219" s="9">
        <v>0</v>
      </c>
      <c r="C219" s="9">
        <v>0</v>
      </c>
      <c r="D219" s="9">
        <v>0</v>
      </c>
    </row>
    <row r="220" spans="1:4" x14ac:dyDescent="0.25">
      <c r="A220" s="6" t="s">
        <v>213</v>
      </c>
      <c r="B220" s="7">
        <v>0</v>
      </c>
      <c r="C220" s="7">
        <v>0</v>
      </c>
      <c r="D220" s="7">
        <v>0</v>
      </c>
    </row>
    <row r="221" spans="1:4" x14ac:dyDescent="0.25">
      <c r="A221" s="4" t="s">
        <v>609</v>
      </c>
      <c r="B221" s="5">
        <v>0</v>
      </c>
      <c r="C221" s="5">
        <v>0</v>
      </c>
      <c r="D221" s="5">
        <v>0</v>
      </c>
    </row>
    <row r="222" spans="1:4" x14ac:dyDescent="0.25">
      <c r="A222" s="6" t="s">
        <v>610</v>
      </c>
      <c r="B222" s="7">
        <v>0</v>
      </c>
      <c r="C222" s="7">
        <v>0</v>
      </c>
      <c r="D222" s="7">
        <v>0</v>
      </c>
    </row>
    <row r="223" spans="1:4" x14ac:dyDescent="0.25">
      <c r="A223" s="8" t="s">
        <v>611</v>
      </c>
      <c r="B223" s="9">
        <v>0</v>
      </c>
      <c r="C223" s="9">
        <v>0</v>
      </c>
      <c r="D223" s="9">
        <v>0</v>
      </c>
    </row>
    <row r="224" spans="1:4" x14ac:dyDescent="0.25">
      <c r="A224" s="6" t="s">
        <v>612</v>
      </c>
      <c r="B224" s="7">
        <v>0</v>
      </c>
      <c r="C224" s="7">
        <v>0</v>
      </c>
      <c r="D224" s="7">
        <v>0</v>
      </c>
    </row>
    <row r="225" spans="1:4" x14ac:dyDescent="0.25">
      <c r="A225" s="8" t="s">
        <v>218</v>
      </c>
      <c r="B225" s="9">
        <v>0</v>
      </c>
      <c r="C225" s="9">
        <v>0</v>
      </c>
      <c r="D225" s="9">
        <v>0</v>
      </c>
    </row>
    <row r="226" spans="1:4" x14ac:dyDescent="0.25">
      <c r="A226" s="6" t="s">
        <v>605</v>
      </c>
      <c r="B226" s="7">
        <v>0</v>
      </c>
      <c r="C226" s="7">
        <v>0</v>
      </c>
      <c r="D226" s="7">
        <v>0</v>
      </c>
    </row>
    <row r="227" spans="1:4" x14ac:dyDescent="0.25">
      <c r="A227" s="8" t="s">
        <v>219</v>
      </c>
      <c r="B227" s="9">
        <v>0</v>
      </c>
      <c r="C227" s="9">
        <v>0</v>
      </c>
      <c r="D227" s="9">
        <v>0</v>
      </c>
    </row>
    <row r="228" spans="1:4" x14ac:dyDescent="0.25">
      <c r="A228" s="6" t="s">
        <v>613</v>
      </c>
      <c r="B228" s="7">
        <v>0</v>
      </c>
      <c r="C228" s="7">
        <v>0</v>
      </c>
      <c r="D228" s="7">
        <v>0</v>
      </c>
    </row>
    <row r="229" spans="1:4" x14ac:dyDescent="0.25">
      <c r="A229" s="8" t="s">
        <v>614</v>
      </c>
      <c r="B229" s="9" t="s">
        <v>1375</v>
      </c>
      <c r="C229" s="9" t="s">
        <v>1709</v>
      </c>
      <c r="D229" s="9" t="s">
        <v>804</v>
      </c>
    </row>
    <row r="230" spans="1:4" x14ac:dyDescent="0.25">
      <c r="A230" s="6" t="s">
        <v>224</v>
      </c>
      <c r="B230" s="7" t="s">
        <v>1377</v>
      </c>
      <c r="C230" s="7" t="s">
        <v>1710</v>
      </c>
      <c r="D230" s="7" t="s">
        <v>1565</v>
      </c>
    </row>
    <row r="231" spans="1:4" x14ac:dyDescent="0.25">
      <c r="A231" s="8" t="s">
        <v>616</v>
      </c>
      <c r="B231" s="9">
        <v>0</v>
      </c>
      <c r="C231" s="9">
        <v>0</v>
      </c>
      <c r="D231" s="9">
        <v>0</v>
      </c>
    </row>
    <row r="232" spans="1:4" x14ac:dyDescent="0.25">
      <c r="A232" s="6" t="s">
        <v>596</v>
      </c>
      <c r="B232" s="7">
        <v>0</v>
      </c>
      <c r="C232" s="7">
        <v>0</v>
      </c>
      <c r="D232" s="7">
        <v>0</v>
      </c>
    </row>
    <row r="233" spans="1:4" x14ac:dyDescent="0.25">
      <c r="A233" s="8" t="s">
        <v>617</v>
      </c>
      <c r="B233" s="9">
        <v>0</v>
      </c>
      <c r="C233" s="9">
        <v>0</v>
      </c>
      <c r="D233" s="9">
        <v>0</v>
      </c>
    </row>
    <row r="234" spans="1:4" x14ac:dyDescent="0.25">
      <c r="A234" s="4" t="s">
        <v>618</v>
      </c>
      <c r="B234" s="5">
        <v>0</v>
      </c>
      <c r="C234" s="5" t="s">
        <v>1711</v>
      </c>
      <c r="D234" s="5" t="s">
        <v>1712</v>
      </c>
    </row>
    <row r="235" spans="1:4" x14ac:dyDescent="0.25">
      <c r="A235" s="4" t="s">
        <v>619</v>
      </c>
      <c r="B235" s="5">
        <v>0</v>
      </c>
      <c r="C235" s="5">
        <v>0</v>
      </c>
      <c r="D235" s="5">
        <v>0</v>
      </c>
    </row>
    <row r="236" spans="1:4" x14ac:dyDescent="0.25">
      <c r="A236" s="4" t="s">
        <v>620</v>
      </c>
      <c r="B236" s="5">
        <v>0</v>
      </c>
      <c r="C236" s="5">
        <v>0</v>
      </c>
      <c r="D236" s="5">
        <v>0</v>
      </c>
    </row>
    <row r="237" spans="1:4" x14ac:dyDescent="0.25">
      <c r="A237" s="8" t="s">
        <v>234</v>
      </c>
      <c r="B237" s="9">
        <v>0</v>
      </c>
      <c r="C237" s="9">
        <v>9500</v>
      </c>
      <c r="D237" s="9">
        <v>4406</v>
      </c>
    </row>
    <row r="238" spans="1:4" x14ac:dyDescent="0.25">
      <c r="A238" s="6" t="s">
        <v>621</v>
      </c>
      <c r="B238" s="7">
        <v>0</v>
      </c>
      <c r="C238" s="7">
        <v>0</v>
      </c>
      <c r="D238" s="7">
        <v>0</v>
      </c>
    </row>
    <row r="239" spans="1:4" x14ac:dyDescent="0.25">
      <c r="A239" s="8" t="s">
        <v>622</v>
      </c>
      <c r="B239" s="9">
        <v>0</v>
      </c>
      <c r="C239" s="9">
        <v>0</v>
      </c>
      <c r="D239" s="9">
        <v>0</v>
      </c>
    </row>
    <row r="240" spans="1:4" x14ac:dyDescent="0.25">
      <c r="A240" s="6" t="s">
        <v>237</v>
      </c>
      <c r="B240" s="7">
        <v>0</v>
      </c>
      <c r="C240" s="7">
        <v>0</v>
      </c>
      <c r="D240" s="7">
        <v>9873</v>
      </c>
    </row>
    <row r="241" spans="1:4" x14ac:dyDescent="0.25">
      <c r="A241" s="8" t="s">
        <v>623</v>
      </c>
      <c r="B241" s="9">
        <v>0</v>
      </c>
      <c r="C241" s="9">
        <v>0</v>
      </c>
      <c r="D241" s="9">
        <v>0</v>
      </c>
    </row>
    <row r="242" spans="1:4" x14ac:dyDescent="0.25">
      <c r="A242" s="6" t="s">
        <v>608</v>
      </c>
      <c r="B242" s="7">
        <v>0</v>
      </c>
      <c r="C242" s="7">
        <v>0</v>
      </c>
      <c r="D242" s="7">
        <v>0</v>
      </c>
    </row>
    <row r="243" spans="1:4" x14ac:dyDescent="0.25">
      <c r="A243" s="4" t="s">
        <v>624</v>
      </c>
      <c r="B243" s="5">
        <v>0</v>
      </c>
      <c r="C243" s="5">
        <v>0</v>
      </c>
      <c r="D243" s="5">
        <v>0</v>
      </c>
    </row>
    <row r="244" spans="1:4" x14ac:dyDescent="0.25">
      <c r="A244" s="6" t="s">
        <v>625</v>
      </c>
      <c r="B244" s="7">
        <v>0</v>
      </c>
      <c r="C244" s="7" t="s">
        <v>1713</v>
      </c>
      <c r="D244" s="7" t="s">
        <v>1568</v>
      </c>
    </row>
    <row r="245" spans="1:4" x14ac:dyDescent="0.25">
      <c r="A245" s="8" t="s">
        <v>243</v>
      </c>
      <c r="B245" s="9" t="s">
        <v>1126</v>
      </c>
      <c r="C245" s="9" t="s">
        <v>1714</v>
      </c>
      <c r="D245" s="9" t="s">
        <v>1570</v>
      </c>
    </row>
    <row r="246" spans="1:4" x14ac:dyDescent="0.25">
      <c r="A246" s="6" t="s">
        <v>621</v>
      </c>
      <c r="B246" s="7">
        <v>0</v>
      </c>
      <c r="C246" s="7">
        <v>0</v>
      </c>
      <c r="D246" s="7">
        <v>0</v>
      </c>
    </row>
    <row r="247" spans="1:4" x14ac:dyDescent="0.25">
      <c r="A247" s="8" t="s">
        <v>622</v>
      </c>
      <c r="B247" s="9">
        <v>0</v>
      </c>
      <c r="C247" s="9">
        <v>0</v>
      </c>
      <c r="D247" s="9">
        <v>0</v>
      </c>
    </row>
    <row r="248" spans="1:4" x14ac:dyDescent="0.25">
      <c r="A248" s="6" t="s">
        <v>244</v>
      </c>
      <c r="B248" s="7">
        <v>0</v>
      </c>
      <c r="C248" s="7">
        <v>0</v>
      </c>
      <c r="D248" s="7">
        <v>0</v>
      </c>
    </row>
    <row r="249" spans="1:4" x14ac:dyDescent="0.25">
      <c r="A249" s="8" t="s">
        <v>245</v>
      </c>
      <c r="B249" s="9">
        <v>0</v>
      </c>
      <c r="C249" s="9">
        <v>0</v>
      </c>
      <c r="D249" s="9">
        <v>0</v>
      </c>
    </row>
    <row r="250" spans="1:4" x14ac:dyDescent="0.25">
      <c r="A250" s="6" t="s">
        <v>627</v>
      </c>
      <c r="B250" s="7">
        <v>0</v>
      </c>
      <c r="C250" s="7" t="s">
        <v>1715</v>
      </c>
      <c r="D250" s="7" t="s">
        <v>1572</v>
      </c>
    </row>
    <row r="251" spans="1:4" x14ac:dyDescent="0.25">
      <c r="A251" s="8" t="s">
        <v>629</v>
      </c>
      <c r="B251" s="9">
        <v>0</v>
      </c>
      <c r="C251" s="9">
        <v>0</v>
      </c>
      <c r="D251" s="9">
        <v>0</v>
      </c>
    </row>
    <row r="252" spans="1:4" x14ac:dyDescent="0.25">
      <c r="A252" s="6" t="s">
        <v>596</v>
      </c>
      <c r="B252" s="7">
        <v>0</v>
      </c>
      <c r="C252" s="7">
        <v>0</v>
      </c>
      <c r="D252" s="7">
        <v>0</v>
      </c>
    </row>
    <row r="253" spans="1:4" x14ac:dyDescent="0.25">
      <c r="A253" s="8" t="s">
        <v>630</v>
      </c>
      <c r="B253" s="9">
        <v>0</v>
      </c>
      <c r="C253" s="9">
        <v>0</v>
      </c>
      <c r="D253" s="9">
        <v>0</v>
      </c>
    </row>
    <row r="254" spans="1:4" x14ac:dyDescent="0.25">
      <c r="A254" s="4" t="s">
        <v>631</v>
      </c>
      <c r="B254" s="5">
        <v>0</v>
      </c>
      <c r="C254" s="5" t="s">
        <v>1716</v>
      </c>
      <c r="D254" s="5" t="s">
        <v>345</v>
      </c>
    </row>
    <row r="255" spans="1:4" x14ac:dyDescent="0.25">
      <c r="A255" s="8" t="s">
        <v>250</v>
      </c>
      <c r="B255" s="9">
        <v>0</v>
      </c>
      <c r="C255" s="9" t="s">
        <v>1717</v>
      </c>
      <c r="D255" s="9" t="s">
        <v>1576</v>
      </c>
    </row>
    <row r="256" spans="1:4" x14ac:dyDescent="0.25">
      <c r="A256" s="6" t="s">
        <v>253</v>
      </c>
      <c r="B256" s="7">
        <v>0</v>
      </c>
      <c r="C256" s="7">
        <v>2043</v>
      </c>
      <c r="D256" s="7">
        <v>3704</v>
      </c>
    </row>
    <row r="257" spans="1:6" x14ac:dyDescent="0.25">
      <c r="A257" s="8" t="s">
        <v>254</v>
      </c>
      <c r="B257" s="9">
        <v>0</v>
      </c>
      <c r="C257" s="9" t="s">
        <v>1718</v>
      </c>
      <c r="D257" s="9" t="s">
        <v>1719</v>
      </c>
    </row>
    <row r="258" spans="1:6" x14ac:dyDescent="0.25">
      <c r="A258" s="6" t="s">
        <v>255</v>
      </c>
      <c r="B258" s="7" t="s">
        <v>1322</v>
      </c>
      <c r="C258" s="7">
        <v>13307</v>
      </c>
      <c r="D258" s="7">
        <v>18826</v>
      </c>
    </row>
    <row r="259" spans="1:6" x14ac:dyDescent="0.25">
      <c r="A259" s="4" t="s">
        <v>256</v>
      </c>
      <c r="B259" s="5" t="s">
        <v>1322</v>
      </c>
      <c r="C259" s="5">
        <v>10785</v>
      </c>
      <c r="D259" s="5">
        <v>13307</v>
      </c>
    </row>
    <row r="262" spans="1:6" ht="15.75" x14ac:dyDescent="0.25">
      <c r="A262" s="2" t="s">
        <v>257</v>
      </c>
    </row>
    <row r="263" spans="1:6" x14ac:dyDescent="0.25">
      <c r="A263" s="3" t="s">
        <v>7</v>
      </c>
      <c r="B263" s="3" t="s">
        <v>8</v>
      </c>
      <c r="C263" s="3" t="s">
        <v>1675</v>
      </c>
      <c r="D263" s="3" t="s">
        <v>1503</v>
      </c>
      <c r="E263" s="3" t="s">
        <v>1676</v>
      </c>
      <c r="F263" s="3" t="s">
        <v>1504</v>
      </c>
    </row>
    <row r="264" spans="1:6" x14ac:dyDescent="0.25">
      <c r="A264" s="6" t="s">
        <v>258</v>
      </c>
      <c r="B264" s="7">
        <v>0</v>
      </c>
      <c r="C264" s="7" t="s">
        <v>1695</v>
      </c>
      <c r="D264" s="7">
        <v>24070</v>
      </c>
      <c r="E264" s="7">
        <v>2272</v>
      </c>
      <c r="F264" s="7" t="s">
        <v>1696</v>
      </c>
    </row>
    <row r="265" spans="1:6" x14ac:dyDescent="0.25">
      <c r="A265" s="4" t="s">
        <v>633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25">
      <c r="A266" s="6" t="s">
        <v>634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</row>
    <row r="267" spans="1:6" x14ac:dyDescent="0.25">
      <c r="A267" s="8" t="s">
        <v>635</v>
      </c>
      <c r="B267" s="9" t="s">
        <v>1442</v>
      </c>
      <c r="C267" s="9">
        <v>3476</v>
      </c>
      <c r="D267" s="9" t="s">
        <v>1720</v>
      </c>
      <c r="E267" s="9">
        <v>3476</v>
      </c>
      <c r="F267" s="9">
        <v>21819</v>
      </c>
    </row>
    <row r="268" spans="1:6" x14ac:dyDescent="0.25">
      <c r="A268" s="6" t="s">
        <v>636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</row>
    <row r="269" spans="1:6" x14ac:dyDescent="0.25">
      <c r="A269" s="8" t="s">
        <v>637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</row>
    <row r="270" spans="1:6" x14ac:dyDescent="0.25">
      <c r="A270" s="6" t="s">
        <v>638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</row>
    <row r="271" spans="1:6" x14ac:dyDescent="0.25">
      <c r="A271" s="8" t="s">
        <v>639</v>
      </c>
      <c r="B271" s="9">
        <v>0</v>
      </c>
      <c r="C271" s="9" t="s">
        <v>1699</v>
      </c>
      <c r="D271" s="9">
        <v>16097</v>
      </c>
      <c r="E271" s="9" t="s">
        <v>1699</v>
      </c>
      <c r="F271" s="9">
        <v>16097</v>
      </c>
    </row>
    <row r="272" spans="1:6" x14ac:dyDescent="0.25">
      <c r="A272" s="6" t="s">
        <v>640</v>
      </c>
      <c r="B272" s="7">
        <v>0</v>
      </c>
      <c r="C272" s="7" t="s">
        <v>1700</v>
      </c>
      <c r="D272" s="7" t="s">
        <v>1721</v>
      </c>
      <c r="E272" s="7" t="s">
        <v>1700</v>
      </c>
      <c r="F272" s="7">
        <v>37916</v>
      </c>
    </row>
    <row r="273" spans="1:6" x14ac:dyDescent="0.25">
      <c r="A273" s="4" t="s">
        <v>641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25">
      <c r="A274" s="6" t="s">
        <v>550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</row>
    <row r="275" spans="1:6" x14ac:dyDescent="0.25">
      <c r="A275" s="8" t="s">
        <v>642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</row>
    <row r="276" spans="1:6" x14ac:dyDescent="0.25">
      <c r="A276" s="6" t="s">
        <v>643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</row>
    <row r="277" spans="1:6" x14ac:dyDescent="0.25">
      <c r="A277" s="8" t="s">
        <v>644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</row>
    <row r="278" spans="1:6" x14ac:dyDescent="0.25">
      <c r="A278" s="6" t="s">
        <v>645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</row>
    <row r="279" spans="1:6" x14ac:dyDescent="0.25">
      <c r="A279" s="8" t="s">
        <v>646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</row>
    <row r="280" spans="1:6" x14ac:dyDescent="0.25">
      <c r="A280" s="6" t="s">
        <v>647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</row>
    <row r="281" spans="1:6" x14ac:dyDescent="0.25">
      <c r="A281" s="8" t="s">
        <v>648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</row>
    <row r="282" spans="1:6" x14ac:dyDescent="0.25">
      <c r="A282" s="6" t="s">
        <v>649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</row>
    <row r="283" spans="1:6" x14ac:dyDescent="0.25">
      <c r="A283" s="8" t="s">
        <v>650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</row>
    <row r="284" spans="1:6" x14ac:dyDescent="0.25">
      <c r="A284" s="6" t="s">
        <v>651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</row>
    <row r="285" spans="1:6" x14ac:dyDescent="0.25">
      <c r="A285" s="8" t="s">
        <v>652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</row>
    <row r="286" spans="1:6" x14ac:dyDescent="0.25">
      <c r="A286" s="6" t="s">
        <v>653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</row>
    <row r="287" spans="1:6" x14ac:dyDescent="0.25">
      <c r="A287" s="8" t="s">
        <v>654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</row>
    <row r="288" spans="1:6" x14ac:dyDescent="0.25">
      <c r="A288" s="6" t="s">
        <v>655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</row>
    <row r="289" spans="1:6" x14ac:dyDescent="0.25">
      <c r="A289" s="8" t="s">
        <v>656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</row>
    <row r="290" spans="1:6" x14ac:dyDescent="0.25">
      <c r="A290" s="6" t="s">
        <v>657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</row>
    <row r="291" spans="1:6" x14ac:dyDescent="0.25">
      <c r="A291" s="8" t="s">
        <v>658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</row>
    <row r="292" spans="1:6" x14ac:dyDescent="0.25">
      <c r="A292" s="6" t="s">
        <v>659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</row>
    <row r="293" spans="1:6" x14ac:dyDescent="0.25">
      <c r="A293" s="8" t="s">
        <v>660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</row>
    <row r="294" spans="1:6" x14ac:dyDescent="0.25">
      <c r="A294" s="6" t="s">
        <v>661</v>
      </c>
      <c r="B294" s="7">
        <v>0</v>
      </c>
      <c r="C294" s="7">
        <v>0</v>
      </c>
      <c r="D294" s="7">
        <v>0</v>
      </c>
      <c r="E294" s="7">
        <v>0</v>
      </c>
      <c r="F294" s="7">
        <v>0</v>
      </c>
    </row>
    <row r="295" spans="1:6" x14ac:dyDescent="0.25">
      <c r="A295" s="8" t="s">
        <v>662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</row>
    <row r="296" spans="1:6" x14ac:dyDescent="0.25">
      <c r="A296" s="6" t="s">
        <v>663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</row>
    <row r="297" spans="1:6" x14ac:dyDescent="0.25">
      <c r="A297" s="8" t="s">
        <v>664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</row>
    <row r="298" spans="1:6" x14ac:dyDescent="0.25">
      <c r="A298" s="6" t="s">
        <v>665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</row>
    <row r="299" spans="1:6" x14ac:dyDescent="0.25">
      <c r="A299" s="8" t="s">
        <v>666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</row>
    <row r="300" spans="1:6" x14ac:dyDescent="0.25">
      <c r="A300" s="6" t="s">
        <v>667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</row>
    <row r="301" spans="1:6" x14ac:dyDescent="0.25">
      <c r="A301" s="8" t="s">
        <v>668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</row>
    <row r="302" spans="1:6" x14ac:dyDescent="0.25">
      <c r="A302" s="6" t="s">
        <v>669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</row>
    <row r="303" spans="1:6" x14ac:dyDescent="0.25">
      <c r="A303" s="4" t="s">
        <v>670</v>
      </c>
      <c r="B303" s="5">
        <v>0</v>
      </c>
      <c r="C303" s="5" t="s">
        <v>1700</v>
      </c>
      <c r="D303" s="5" t="s">
        <v>1721</v>
      </c>
      <c r="E303" s="5" t="s">
        <v>1700</v>
      </c>
      <c r="F303" s="5">
        <v>37916</v>
      </c>
    </row>
    <row r="304" spans="1:6" x14ac:dyDescent="0.25">
      <c r="A304" s="4" t="s">
        <v>671</v>
      </c>
      <c r="B304" s="5">
        <v>0</v>
      </c>
      <c r="C304" s="5" t="s">
        <v>1722</v>
      </c>
      <c r="D304" s="5">
        <v>18115</v>
      </c>
      <c r="E304" s="5" t="s">
        <v>1701</v>
      </c>
      <c r="F304" s="5">
        <v>2344</v>
      </c>
    </row>
    <row r="307" spans="1:2" ht="15.75" x14ac:dyDescent="0.25">
      <c r="A307" s="2" t="s">
        <v>272</v>
      </c>
    </row>
    <row r="308" spans="1:2" x14ac:dyDescent="0.25">
      <c r="A308" s="3" t="s">
        <v>273</v>
      </c>
      <c r="B308" s="3" t="s">
        <v>274</v>
      </c>
    </row>
    <row r="309" spans="1:2" x14ac:dyDescent="0.25">
      <c r="A309" s="4" t="s">
        <v>275</v>
      </c>
      <c r="B309" s="5"/>
    </row>
    <row r="310" spans="1:2" x14ac:dyDescent="0.25">
      <c r="A310" s="6" t="s">
        <v>276</v>
      </c>
      <c r="B310" s="11">
        <v>44972.7397569444</v>
      </c>
    </row>
    <row r="311" spans="1:2" x14ac:dyDescent="0.25">
      <c r="A311" s="8" t="s">
        <v>1387</v>
      </c>
      <c r="B311" s="10">
        <v>44972.738587963002</v>
      </c>
    </row>
    <row r="312" spans="1:2" x14ac:dyDescent="0.25">
      <c r="A312" s="4" t="s">
        <v>278</v>
      </c>
      <c r="B312" s="5"/>
    </row>
    <row r="313" spans="1:2" x14ac:dyDescent="0.25">
      <c r="A313" s="8" t="s">
        <v>1387</v>
      </c>
      <c r="B313" s="10">
        <v>44972.738703703697</v>
      </c>
    </row>
    <row r="314" spans="1:2" x14ac:dyDescent="0.25">
      <c r="A314" s="6" t="s">
        <v>276</v>
      </c>
      <c r="B314" s="11">
        <v>44972.739930555603</v>
      </c>
    </row>
    <row r="315" spans="1:2" x14ac:dyDescent="0.25">
      <c r="A315" s="4" t="s">
        <v>279</v>
      </c>
      <c r="B315" s="5"/>
    </row>
    <row r="316" spans="1:2" x14ac:dyDescent="0.25">
      <c r="A316" s="6" t="s">
        <v>276</v>
      </c>
      <c r="B316" s="11">
        <v>44972.740057870396</v>
      </c>
    </row>
    <row r="317" spans="1:2" x14ac:dyDescent="0.25">
      <c r="A317" s="8" t="s">
        <v>1387</v>
      </c>
      <c r="B317" s="10">
        <v>44972.738819444399</v>
      </c>
    </row>
    <row r="318" spans="1:2" x14ac:dyDescent="0.25">
      <c r="A318" s="4" t="s">
        <v>280</v>
      </c>
      <c r="B318" s="5"/>
    </row>
    <row r="319" spans="1:2" x14ac:dyDescent="0.25">
      <c r="A319" s="8" t="s">
        <v>1387</v>
      </c>
      <c r="B319" s="10">
        <v>44972.738912036999</v>
      </c>
    </row>
    <row r="320" spans="1:2" x14ac:dyDescent="0.25">
      <c r="A320" s="6" t="s">
        <v>276</v>
      </c>
      <c r="B320" s="11">
        <v>44972.740138888897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023E-56D1-49B6-8CC5-841EA82B8B3B}">
  <dimension ref="A1:AD117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:AC2"/>
    </sheetView>
  </sheetViews>
  <sheetFormatPr defaultColWidth="10.42578125" defaultRowHeight="15" x14ac:dyDescent="0.25"/>
  <cols>
    <col min="1" max="1" width="89.5703125" customWidth="1"/>
    <col min="2" max="2" width="10.7109375" style="13" customWidth="1"/>
    <col min="3" max="29" width="10.42578125" style="13"/>
    <col min="30" max="16384" width="10.42578125" style="12"/>
  </cols>
  <sheetData>
    <row r="1" spans="1:30" x14ac:dyDescent="0.25">
      <c r="A1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30" x14ac:dyDescent="0.25">
      <c r="B2" s="12" t="str">
        <f>2016+INT((COLUMN(A1)-1)/4)&amp;"-Q"&amp;MOD(COLUMN(A1)-1,4)+1</f>
        <v>2016-Q1</v>
      </c>
      <c r="C2" s="12" t="str">
        <f>2016+INT((COLUMN(B1)-1)/4)&amp;"-Q"&amp;MOD(COLUMN(B1)-1,4)+1</f>
        <v>2016-Q2</v>
      </c>
      <c r="D2" s="12" t="str">
        <f t="shared" ref="D2:T2" si="0">2016+INT((COLUMN(C1)-1)/4)&amp;"-Q"&amp;MOD(COLUMN(C1)-1,4)+1</f>
        <v>2016-Q3</v>
      </c>
      <c r="E2" s="12" t="str">
        <f t="shared" si="0"/>
        <v>2016-Q4</v>
      </c>
      <c r="F2" s="12" t="str">
        <f>2016+INT((COLUMN(E1)-1)/4)&amp;"-Q"&amp;MOD(COLUMN(E1)-1,4)+1</f>
        <v>2017-Q1</v>
      </c>
      <c r="G2" s="12" t="str">
        <f t="shared" si="0"/>
        <v>2017-Q2</v>
      </c>
      <c r="H2" s="12" t="str">
        <f t="shared" si="0"/>
        <v>2017-Q3</v>
      </c>
      <c r="I2" s="12" t="str">
        <f t="shared" si="0"/>
        <v>2017-Q4</v>
      </c>
      <c r="J2" s="12" t="str">
        <f>2016+INT((COLUMN(I1)-1)/4)&amp;"-Q"&amp;MOD(COLUMN(I1)-1,4)+1</f>
        <v>2018-Q1</v>
      </c>
      <c r="K2" s="12" t="str">
        <f t="shared" si="0"/>
        <v>2018-Q2</v>
      </c>
      <c r="L2" s="12" t="str">
        <f t="shared" si="0"/>
        <v>2018-Q3</v>
      </c>
      <c r="M2" s="12" t="str">
        <f t="shared" si="0"/>
        <v>2018-Q4</v>
      </c>
      <c r="N2" s="12" t="str">
        <f>2016+INT((COLUMN(M1)-1)/4)&amp;"-Q"&amp;MOD(COLUMN(M1)-1,4)+1</f>
        <v>2019-Q1</v>
      </c>
      <c r="O2" s="12" t="str">
        <f t="shared" si="0"/>
        <v>2019-Q2</v>
      </c>
      <c r="P2" s="12" t="str">
        <f t="shared" si="0"/>
        <v>2019-Q3</v>
      </c>
      <c r="Q2" s="12" t="str">
        <f t="shared" si="0"/>
        <v>2019-Q4</v>
      </c>
      <c r="R2" s="12" t="str">
        <f>2016+INT((COLUMN(Q1)-1)/4)&amp;"-Q"&amp;MOD(COLUMN(Q1)-1,4)+1</f>
        <v>2020-Q1</v>
      </c>
      <c r="S2" s="12" t="str">
        <f t="shared" si="0"/>
        <v>2020-Q2</v>
      </c>
      <c r="T2" s="12" t="str">
        <f t="shared" si="0"/>
        <v>2020-Q3</v>
      </c>
      <c r="U2" s="12" t="str">
        <f>2016+INT((COLUMN(T1)-1)/4)&amp;"-Q"&amp;MOD(COLUMN(T1)-1,4)+1</f>
        <v>2020-Q4</v>
      </c>
      <c r="V2" s="12" t="str">
        <f>2016+INT((COLUMN(U1)-1)/4)&amp;"-Q"&amp;MOD(COLUMN(U1)-1,4)+1</f>
        <v>2021-Q1</v>
      </c>
      <c r="W2" s="12" t="str">
        <f t="shared" ref="W2:Y2" si="1">2016+INT((COLUMN(V1)-1)/4)&amp;"-Q"&amp;MOD(COLUMN(V1)-1,4)+1</f>
        <v>2021-Q2</v>
      </c>
      <c r="X2" s="12" t="str">
        <f t="shared" si="1"/>
        <v>2021-Q3</v>
      </c>
      <c r="Y2" s="12" t="str">
        <f t="shared" si="1"/>
        <v>2021-Q4</v>
      </c>
      <c r="Z2" s="12" t="str">
        <f>2016+INT((COLUMN(Y1)-1)/4)&amp;"-Q"&amp;MOD(COLUMN(Y1)-1,4)+1</f>
        <v>2022-Q1</v>
      </c>
      <c r="AA2" s="12" t="str">
        <f>2016+INT((COLUMN(Z1)-1)/4)&amp;"-Q"&amp;MOD(COLUMN(Z1)-1,4)+1</f>
        <v>2022-Q2</v>
      </c>
      <c r="AB2" s="12" t="str">
        <f t="shared" ref="AB2" si="2">2016+INT((COLUMN(AA1)-1)/4)&amp;"-Q"&amp;MOD(COLUMN(AA1)-1,4)+1</f>
        <v>2022-Q3</v>
      </c>
      <c r="AC2" s="12" t="str">
        <f>2016+INT((COLUMN(AB1)-1)/4)&amp;"-Q"&amp;MOD(COLUMN(AB1)-1,4)+1</f>
        <v>2022-Q4</v>
      </c>
    </row>
    <row r="3" spans="1:30" x14ac:dyDescent="0.25">
      <c r="A3" t="s">
        <v>1121</v>
      </c>
    </row>
    <row r="4" spans="1:30" x14ac:dyDescent="0.25">
      <c r="A4" s="3" t="s">
        <v>7</v>
      </c>
    </row>
    <row r="5" spans="1:30" x14ac:dyDescent="0.25">
      <c r="A5" s="4" t="s">
        <v>78</v>
      </c>
      <c r="B5" s="14">
        <v>28755</v>
      </c>
      <c r="C5" s="14">
        <v>37458</v>
      </c>
      <c r="D5" s="14">
        <v>43791</v>
      </c>
      <c r="E5" s="14">
        <v>38897</v>
      </c>
      <c r="F5" s="14">
        <v>30883</v>
      </c>
      <c r="G5" s="14">
        <v>40372</v>
      </c>
      <c r="H5" s="14">
        <v>44899</v>
      </c>
      <c r="I5" s="14">
        <v>39759</v>
      </c>
      <c r="J5" s="14">
        <v>34394</v>
      </c>
      <c r="K5" s="14">
        <v>41457</v>
      </c>
      <c r="L5" s="14">
        <v>47769</v>
      </c>
      <c r="M5" s="14">
        <v>44534</v>
      </c>
      <c r="N5" s="14">
        <v>37259</v>
      </c>
      <c r="O5" s="14">
        <v>47991</v>
      </c>
      <c r="P5" s="14">
        <v>52862</v>
      </c>
      <c r="Q5" s="14">
        <v>45397</v>
      </c>
      <c r="R5" s="14">
        <v>33728</v>
      </c>
      <c r="S5" s="14">
        <v>15592</v>
      </c>
      <c r="T5" s="14">
        <v>21589</v>
      </c>
      <c r="U5" s="14">
        <v>18713</v>
      </c>
      <c r="V5" s="14">
        <v>15407</v>
      </c>
      <c r="W5" s="14">
        <v>17659</v>
      </c>
      <c r="X5" s="14">
        <v>25712</v>
      </c>
      <c r="Y5" s="14">
        <v>29569</v>
      </c>
      <c r="Z5" s="14">
        <v>26669</v>
      </c>
      <c r="AA5" s="14">
        <v>37701</v>
      </c>
      <c r="AB5" s="14">
        <v>47668</v>
      </c>
      <c r="AC5" s="14">
        <v>40161</v>
      </c>
      <c r="AD5" s="13"/>
    </row>
    <row r="6" spans="1:30" x14ac:dyDescent="0.25">
      <c r="A6" s="6" t="s">
        <v>79</v>
      </c>
      <c r="B6" s="15">
        <v>-19808</v>
      </c>
      <c r="C6" s="15">
        <v>-23232</v>
      </c>
      <c r="D6" s="15">
        <v>-25183</v>
      </c>
      <c r="E6" s="15">
        <v>-24445</v>
      </c>
      <c r="F6" s="15">
        <v>-22371</v>
      </c>
      <c r="G6" s="15">
        <v>-23893</v>
      </c>
      <c r="H6" s="15">
        <v>-26568</v>
      </c>
      <c r="I6" s="15">
        <v>-26365</v>
      </c>
      <c r="J6" s="15">
        <v>-24351</v>
      </c>
      <c r="K6" s="15">
        <v>-27486</v>
      </c>
      <c r="L6" s="15">
        <v>-29906</v>
      </c>
      <c r="M6" s="15">
        <v>-29928</v>
      </c>
      <c r="N6" s="15">
        <v>-27217</v>
      </c>
      <c r="O6" s="15">
        <v>-30562</v>
      </c>
      <c r="P6" s="15">
        <v>-32781</v>
      </c>
      <c r="Q6" s="15">
        <v>-30829</v>
      </c>
      <c r="R6" s="15">
        <v>-31059</v>
      </c>
      <c r="S6" s="15">
        <v>-13523</v>
      </c>
      <c r="T6" s="15">
        <v>-20393</v>
      </c>
      <c r="U6" s="15">
        <v>-19295</v>
      </c>
      <c r="V6" s="15">
        <v>-16809</v>
      </c>
      <c r="W6" s="15">
        <v>-18128</v>
      </c>
      <c r="X6" s="15">
        <v>-20461</v>
      </c>
      <c r="Y6" s="15">
        <v>-22703</v>
      </c>
      <c r="Z6" s="15">
        <v>-22466</v>
      </c>
      <c r="AA6" s="15">
        <v>-26699</v>
      </c>
      <c r="AB6" s="15">
        <v>-29514</v>
      </c>
      <c r="AC6" s="15">
        <v>-29420</v>
      </c>
      <c r="AD6" s="13"/>
    </row>
    <row r="7" spans="1:30" s="25" customFormat="1" x14ac:dyDescent="0.25">
      <c r="A7" s="22" t="s">
        <v>82</v>
      </c>
      <c r="B7" s="23">
        <f>+B5+B6</f>
        <v>8947</v>
      </c>
      <c r="C7" s="23">
        <f t="shared" ref="C7:E7" si="3">+C5+C6</f>
        <v>14226</v>
      </c>
      <c r="D7" s="23">
        <f t="shared" si="3"/>
        <v>18608</v>
      </c>
      <c r="E7" s="23">
        <f t="shared" si="3"/>
        <v>14452</v>
      </c>
      <c r="F7" s="23">
        <v>8512</v>
      </c>
      <c r="G7" s="23">
        <v>16479</v>
      </c>
      <c r="H7" s="23">
        <v>18331</v>
      </c>
      <c r="I7" s="23">
        <v>13394</v>
      </c>
      <c r="J7" s="23">
        <v>10043</v>
      </c>
      <c r="K7" s="23">
        <v>13971</v>
      </c>
      <c r="L7" s="23">
        <v>17863</v>
      </c>
      <c r="M7" s="23">
        <v>14606</v>
      </c>
      <c r="N7" s="23">
        <v>10042</v>
      </c>
      <c r="O7" s="23">
        <v>17429</v>
      </c>
      <c r="P7" s="23">
        <v>20081</v>
      </c>
      <c r="Q7" s="23">
        <v>14568</v>
      </c>
      <c r="R7" s="23">
        <v>2669</v>
      </c>
      <c r="S7" s="23">
        <v>2069</v>
      </c>
      <c r="T7" s="23">
        <v>1196</v>
      </c>
      <c r="U7" s="23">
        <v>-582</v>
      </c>
      <c r="V7" s="23">
        <v>-1402</v>
      </c>
      <c r="W7" s="23">
        <v>-469</v>
      </c>
      <c r="X7" s="23">
        <v>5251</v>
      </c>
      <c r="Y7" s="23">
        <v>6866</v>
      </c>
      <c r="Z7" s="23">
        <v>4203</v>
      </c>
      <c r="AA7" s="23">
        <v>11002</v>
      </c>
      <c r="AB7" s="23">
        <v>18154</v>
      </c>
      <c r="AC7" s="23">
        <v>10741</v>
      </c>
      <c r="AD7" s="24"/>
    </row>
    <row r="8" spans="1:30" s="21" customFormat="1" x14ac:dyDescent="0.25">
      <c r="A8" s="19" t="s">
        <v>1727</v>
      </c>
      <c r="B8" s="26">
        <f t="shared" ref="B8:AC8" si="4">+B7/B5</f>
        <v>0.31114588767170925</v>
      </c>
      <c r="C8" s="26">
        <f t="shared" si="4"/>
        <v>0.37978535960275511</v>
      </c>
      <c r="D8" s="26">
        <f t="shared" si="4"/>
        <v>0.42492749651754924</v>
      </c>
      <c r="E8" s="26">
        <f t="shared" si="4"/>
        <v>0.3715453633956346</v>
      </c>
      <c r="F8" s="26">
        <f t="shared" si="4"/>
        <v>0.27562089175274423</v>
      </c>
      <c r="G8" s="26">
        <f t="shared" si="4"/>
        <v>0.40817893589616566</v>
      </c>
      <c r="H8" s="26">
        <f t="shared" si="4"/>
        <v>0.40827189915142875</v>
      </c>
      <c r="I8" s="26">
        <f t="shared" si="4"/>
        <v>0.33687970019366686</v>
      </c>
      <c r="J8" s="26">
        <f t="shared" si="4"/>
        <v>0.29199860440774555</v>
      </c>
      <c r="K8" s="26">
        <f t="shared" si="4"/>
        <v>0.33699978290759097</v>
      </c>
      <c r="L8" s="26">
        <f t="shared" si="4"/>
        <v>0.37394544579120348</v>
      </c>
      <c r="M8" s="26">
        <f t="shared" si="4"/>
        <v>0.32797413212377058</v>
      </c>
      <c r="N8" s="26">
        <f t="shared" si="4"/>
        <v>0.26951877398749297</v>
      </c>
      <c r="O8" s="26">
        <f t="shared" si="4"/>
        <v>0.36317226146569148</v>
      </c>
      <c r="P8" s="26">
        <f t="shared" si="4"/>
        <v>0.37987590329537285</v>
      </c>
      <c r="Q8" s="26">
        <f t="shared" si="4"/>
        <v>0.32090226226402624</v>
      </c>
      <c r="R8" s="26">
        <f t="shared" si="4"/>
        <v>7.9133064516129031E-2</v>
      </c>
      <c r="S8" s="26">
        <f t="shared" si="4"/>
        <v>0.13269625448948177</v>
      </c>
      <c r="T8" s="26">
        <f t="shared" si="4"/>
        <v>5.5398582611515125E-2</v>
      </c>
      <c r="U8" s="26">
        <f t="shared" si="4"/>
        <v>-3.110137337679688E-2</v>
      </c>
      <c r="V8" s="26">
        <f t="shared" si="4"/>
        <v>-9.0997598494190951E-2</v>
      </c>
      <c r="W8" s="26">
        <f t="shared" si="4"/>
        <v>-2.6558695282858598E-2</v>
      </c>
      <c r="X8" s="26">
        <f t="shared" si="4"/>
        <v>0.20422370877411325</v>
      </c>
      <c r="Y8" s="26">
        <f t="shared" si="4"/>
        <v>0.23220264466163887</v>
      </c>
      <c r="Z8" s="26">
        <f t="shared" si="4"/>
        <v>0.15759871011286514</v>
      </c>
      <c r="AA8" s="26">
        <f t="shared" si="4"/>
        <v>0.29182249807697408</v>
      </c>
      <c r="AB8" s="26">
        <f t="shared" si="4"/>
        <v>0.38084249391625408</v>
      </c>
      <c r="AC8" s="26">
        <f t="shared" si="4"/>
        <v>0.26744851970817457</v>
      </c>
      <c r="AD8" s="20"/>
    </row>
    <row r="9" spans="1:30" s="25" customFormat="1" x14ac:dyDescent="0.25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4"/>
    </row>
    <row r="10" spans="1:30" x14ac:dyDescent="0.25">
      <c r="A10" s="27" t="s">
        <v>1724</v>
      </c>
      <c r="B10" s="15">
        <v>-1611</v>
      </c>
      <c r="C10" s="15">
        <v>-1587</v>
      </c>
      <c r="D10" s="15">
        <v>-1432</v>
      </c>
      <c r="E10" s="15">
        <v>-1354</v>
      </c>
      <c r="F10" s="15">
        <v>-1820</v>
      </c>
      <c r="G10" s="15">
        <v>-1856</v>
      </c>
      <c r="H10" s="15">
        <v>-1547</v>
      </c>
      <c r="I10" s="15">
        <v>-1967</v>
      </c>
      <c r="J10" s="15">
        <v>-2335</v>
      </c>
      <c r="K10" s="15">
        <v>-2294</v>
      </c>
      <c r="L10" s="15">
        <v>-2151</v>
      </c>
      <c r="M10" s="15">
        <v>-1795</v>
      </c>
      <c r="N10" s="15">
        <v>-2582</v>
      </c>
      <c r="O10" s="15">
        <v>-2127</v>
      </c>
      <c r="P10" s="15">
        <v>-1892</v>
      </c>
      <c r="Q10" s="15">
        <v>-3534</v>
      </c>
      <c r="R10" s="15">
        <v>-2462</v>
      </c>
      <c r="S10" s="15">
        <v>-451</v>
      </c>
      <c r="T10" s="15">
        <v>-1389</v>
      </c>
      <c r="U10" s="15">
        <v>-1162</v>
      </c>
      <c r="V10" s="15">
        <v>-1050</v>
      </c>
      <c r="W10" s="15">
        <v>-1252</v>
      </c>
      <c r="X10" s="15">
        <v>-1173</v>
      </c>
      <c r="Y10" s="15">
        <v>-1144</v>
      </c>
      <c r="Z10" s="15">
        <v>-1190</v>
      </c>
      <c r="AA10" s="15">
        <v>-1298</v>
      </c>
      <c r="AB10" s="15">
        <v>-1945</v>
      </c>
      <c r="AC10" s="15">
        <v>-1882</v>
      </c>
      <c r="AD10" s="13"/>
    </row>
    <row r="11" spans="1:30" x14ac:dyDescent="0.25">
      <c r="A11" s="27" t="s">
        <v>1725</v>
      </c>
      <c r="B11" s="16">
        <v>-7758</v>
      </c>
      <c r="C11" s="16">
        <v>-9526</v>
      </c>
      <c r="D11" s="16">
        <v>-8696</v>
      </c>
      <c r="E11" s="16">
        <v>-8342</v>
      </c>
      <c r="F11" s="16">
        <v>-9017</v>
      </c>
      <c r="G11" s="16">
        <v>-8585</v>
      </c>
      <c r="H11" s="16">
        <v>-9116</v>
      </c>
      <c r="I11" s="16">
        <v>-10451</v>
      </c>
      <c r="J11" s="16">
        <v>-10339</v>
      </c>
      <c r="K11" s="16">
        <v>-9508</v>
      </c>
      <c r="L11" s="16">
        <v>-9967</v>
      </c>
      <c r="M11" s="16">
        <v>-10487</v>
      </c>
      <c r="N11" s="16">
        <v>-10918</v>
      </c>
      <c r="O11" s="16">
        <v>-10597</v>
      </c>
      <c r="P11" s="16">
        <v>-10807</v>
      </c>
      <c r="Q11" s="16">
        <v>-10713</v>
      </c>
      <c r="R11" s="16">
        <v>-7032</v>
      </c>
      <c r="S11" s="16">
        <v>-9109</v>
      </c>
      <c r="T11" s="16">
        <v>-8260</v>
      </c>
      <c r="U11" s="16">
        <v>-7612</v>
      </c>
      <c r="V11" s="16">
        <v>-5882</v>
      </c>
      <c r="W11" s="16">
        <v>-5958</v>
      </c>
      <c r="X11" s="16">
        <v>-6299</v>
      </c>
      <c r="Y11" s="16">
        <v>-8660</v>
      </c>
      <c r="Z11" s="16">
        <v>-5493</v>
      </c>
      <c r="AA11" s="16">
        <v>-6451</v>
      </c>
      <c r="AB11" s="16">
        <v>-6998</v>
      </c>
      <c r="AC11" s="16">
        <v>-6904</v>
      </c>
      <c r="AD11" s="13"/>
    </row>
    <row r="12" spans="1:30" x14ac:dyDescent="0.25">
      <c r="A12" s="8" t="s">
        <v>90</v>
      </c>
      <c r="B12" s="16">
        <v>0</v>
      </c>
      <c r="C12" s="16">
        <v>0</v>
      </c>
      <c r="D12" s="16">
        <v>0</v>
      </c>
      <c r="E12" s="16">
        <v>1852</v>
      </c>
      <c r="F12" s="16">
        <v>222</v>
      </c>
      <c r="G12" s="16">
        <v>430</v>
      </c>
      <c r="H12" s="16">
        <v>553</v>
      </c>
      <c r="I12" s="16">
        <v>4225</v>
      </c>
      <c r="J12" s="16">
        <v>125</v>
      </c>
      <c r="K12" s="16">
        <v>637</v>
      </c>
      <c r="L12" s="16">
        <v>968</v>
      </c>
      <c r="M12" s="16">
        <v>2512</v>
      </c>
      <c r="N12" s="16">
        <v>134</v>
      </c>
      <c r="O12" s="16">
        <v>267</v>
      </c>
      <c r="P12" s="16">
        <v>253</v>
      </c>
      <c r="Q12" s="16">
        <v>1595</v>
      </c>
      <c r="R12" s="16">
        <v>1266</v>
      </c>
      <c r="S12" s="16">
        <v>134</v>
      </c>
      <c r="T12" s="16">
        <v>5209</v>
      </c>
      <c r="U12" s="16">
        <v>470</v>
      </c>
      <c r="V12" s="16">
        <v>234</v>
      </c>
      <c r="W12" s="16">
        <v>766</v>
      </c>
      <c r="X12" s="16">
        <v>477</v>
      </c>
      <c r="Y12" s="16">
        <v>1365</v>
      </c>
      <c r="Z12" s="16">
        <v>403</v>
      </c>
      <c r="AA12" s="16">
        <v>309</v>
      </c>
      <c r="AB12" s="16">
        <v>1494</v>
      </c>
      <c r="AC12" s="16">
        <v>1599</v>
      </c>
      <c r="AD12" s="13"/>
    </row>
    <row r="13" spans="1:30" x14ac:dyDescent="0.25">
      <c r="A13" s="6" t="s">
        <v>91</v>
      </c>
      <c r="B13" s="15">
        <v>-269</v>
      </c>
      <c r="C13" s="15">
        <v>-219</v>
      </c>
      <c r="D13" s="15">
        <v>-295</v>
      </c>
      <c r="E13" s="15">
        <v>-352</v>
      </c>
      <c r="F13" s="15">
        <v>-310</v>
      </c>
      <c r="G13" s="15">
        <v>-477</v>
      </c>
      <c r="H13" s="15">
        <v>-854</v>
      </c>
      <c r="I13" s="15">
        <v>-134</v>
      </c>
      <c r="J13" s="15">
        <v>-419</v>
      </c>
      <c r="K13" s="15">
        <v>-354</v>
      </c>
      <c r="L13" s="15">
        <v>-770</v>
      </c>
      <c r="M13" s="15">
        <v>-1475</v>
      </c>
      <c r="N13" s="15">
        <v>-438</v>
      </c>
      <c r="O13" s="15">
        <v>-492</v>
      </c>
      <c r="P13" s="15">
        <v>-557</v>
      </c>
      <c r="Q13" s="15">
        <v>-1141</v>
      </c>
      <c r="R13" s="15">
        <v>-442</v>
      </c>
      <c r="S13" s="15">
        <v>-40</v>
      </c>
      <c r="T13" s="15">
        <v>-463</v>
      </c>
      <c r="U13" s="15">
        <v>-991</v>
      </c>
      <c r="V13" s="15">
        <v>-251</v>
      </c>
      <c r="W13" s="15">
        <v>-64</v>
      </c>
      <c r="X13" s="15">
        <v>-599</v>
      </c>
      <c r="Y13" s="15">
        <v>-388</v>
      </c>
      <c r="Z13" s="15">
        <v>-278</v>
      </c>
      <c r="AA13" s="15">
        <v>-1853</v>
      </c>
      <c r="AB13" s="15">
        <v>-1558</v>
      </c>
      <c r="AC13" s="15">
        <v>-812</v>
      </c>
      <c r="AD13" s="13"/>
    </row>
    <row r="14" spans="1:30" x14ac:dyDescent="0.25">
      <c r="A14" s="17" t="s">
        <v>1726</v>
      </c>
      <c r="B14" s="18">
        <f>+SUM(B10:B13)</f>
        <v>-9638</v>
      </c>
      <c r="C14" s="18">
        <f t="shared" ref="C14:AC14" si="5">+SUM(C10:C13)</f>
        <v>-11332</v>
      </c>
      <c r="D14" s="18">
        <f t="shared" si="5"/>
        <v>-10423</v>
      </c>
      <c r="E14" s="18">
        <f t="shared" si="5"/>
        <v>-8196</v>
      </c>
      <c r="F14" s="18">
        <f t="shared" si="5"/>
        <v>-10925</v>
      </c>
      <c r="G14" s="18">
        <f t="shared" si="5"/>
        <v>-10488</v>
      </c>
      <c r="H14" s="18">
        <f t="shared" si="5"/>
        <v>-10964</v>
      </c>
      <c r="I14" s="18">
        <f t="shared" si="5"/>
        <v>-8327</v>
      </c>
      <c r="J14" s="18">
        <f t="shared" si="5"/>
        <v>-12968</v>
      </c>
      <c r="K14" s="18">
        <f t="shared" si="5"/>
        <v>-11519</v>
      </c>
      <c r="L14" s="18">
        <f t="shared" si="5"/>
        <v>-11920</v>
      </c>
      <c r="M14" s="18">
        <f t="shared" si="5"/>
        <v>-11245</v>
      </c>
      <c r="N14" s="18">
        <f t="shared" si="5"/>
        <v>-13804</v>
      </c>
      <c r="O14" s="18">
        <f t="shared" si="5"/>
        <v>-12949</v>
      </c>
      <c r="P14" s="18">
        <f t="shared" si="5"/>
        <v>-13003</v>
      </c>
      <c r="Q14" s="18">
        <f t="shared" si="5"/>
        <v>-13793</v>
      </c>
      <c r="R14" s="18">
        <f t="shared" si="5"/>
        <v>-8670</v>
      </c>
      <c r="S14" s="18">
        <f t="shared" si="5"/>
        <v>-9466</v>
      </c>
      <c r="T14" s="18">
        <f t="shared" si="5"/>
        <v>-4903</v>
      </c>
      <c r="U14" s="18">
        <f t="shared" si="5"/>
        <v>-9295</v>
      </c>
      <c r="V14" s="18">
        <f t="shared" si="5"/>
        <v>-6949</v>
      </c>
      <c r="W14" s="18">
        <f t="shared" si="5"/>
        <v>-6508</v>
      </c>
      <c r="X14" s="18">
        <f t="shared" si="5"/>
        <v>-7594</v>
      </c>
      <c r="Y14" s="18">
        <f t="shared" si="5"/>
        <v>-8827</v>
      </c>
      <c r="Z14" s="18">
        <f t="shared" si="5"/>
        <v>-6558</v>
      </c>
      <c r="AA14" s="18">
        <f t="shared" si="5"/>
        <v>-9293</v>
      </c>
      <c r="AB14" s="18">
        <f t="shared" si="5"/>
        <v>-9007</v>
      </c>
      <c r="AC14" s="18">
        <f t="shared" si="5"/>
        <v>-7999</v>
      </c>
      <c r="AD14" s="13"/>
    </row>
    <row r="15" spans="1:30" x14ac:dyDescent="0.25">
      <c r="A15" s="6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3"/>
    </row>
    <row r="16" spans="1:30" s="25" customFormat="1" x14ac:dyDescent="0.25">
      <c r="A16" s="22" t="s">
        <v>1729</v>
      </c>
      <c r="B16" s="23">
        <f t="shared" ref="B16:AC16" si="6">+SUM(B7,B10:B13)</f>
        <v>-691</v>
      </c>
      <c r="C16" s="23">
        <f t="shared" si="6"/>
        <v>2894</v>
      </c>
      <c r="D16" s="23">
        <f t="shared" si="6"/>
        <v>8185</v>
      </c>
      <c r="E16" s="23">
        <f t="shared" si="6"/>
        <v>6256</v>
      </c>
      <c r="F16" s="23">
        <f t="shared" si="6"/>
        <v>-2413</v>
      </c>
      <c r="G16" s="23">
        <f t="shared" si="6"/>
        <v>5991</v>
      </c>
      <c r="H16" s="23">
        <f t="shared" si="6"/>
        <v>7367</v>
      </c>
      <c r="I16" s="23">
        <f t="shared" si="6"/>
        <v>5067</v>
      </c>
      <c r="J16" s="23">
        <f t="shared" si="6"/>
        <v>-2925</v>
      </c>
      <c r="K16" s="23">
        <f t="shared" si="6"/>
        <v>2452</v>
      </c>
      <c r="L16" s="23">
        <f t="shared" si="6"/>
        <v>5943</v>
      </c>
      <c r="M16" s="23">
        <f t="shared" si="6"/>
        <v>3361</v>
      </c>
      <c r="N16" s="23">
        <f t="shared" si="6"/>
        <v>-3762</v>
      </c>
      <c r="O16" s="23">
        <f t="shared" si="6"/>
        <v>4480</v>
      </c>
      <c r="P16" s="23">
        <f t="shared" si="6"/>
        <v>7078</v>
      </c>
      <c r="Q16" s="23">
        <f t="shared" si="6"/>
        <v>775</v>
      </c>
      <c r="R16" s="23">
        <f t="shared" si="6"/>
        <v>-6001</v>
      </c>
      <c r="S16" s="23">
        <f t="shared" si="6"/>
        <v>-7397</v>
      </c>
      <c r="T16" s="23">
        <f t="shared" si="6"/>
        <v>-3707</v>
      </c>
      <c r="U16" s="23">
        <f t="shared" si="6"/>
        <v>-9877</v>
      </c>
      <c r="V16" s="23">
        <f t="shared" si="6"/>
        <v>-8351</v>
      </c>
      <c r="W16" s="23">
        <f t="shared" si="6"/>
        <v>-6977</v>
      </c>
      <c r="X16" s="23">
        <f t="shared" si="6"/>
        <v>-2343</v>
      </c>
      <c r="Y16" s="23">
        <f t="shared" si="6"/>
        <v>-1961</v>
      </c>
      <c r="Z16" s="23">
        <f t="shared" si="6"/>
        <v>-2355</v>
      </c>
      <c r="AA16" s="23">
        <f t="shared" si="6"/>
        <v>1709</v>
      </c>
      <c r="AB16" s="23">
        <f t="shared" si="6"/>
        <v>9147</v>
      </c>
      <c r="AC16" s="23">
        <f t="shared" si="6"/>
        <v>2742</v>
      </c>
      <c r="AD16" s="24"/>
    </row>
    <row r="17" spans="1:30" x14ac:dyDescent="0.25">
      <c r="A17" s="4" t="s">
        <v>1730</v>
      </c>
      <c r="B17" s="14">
        <f>(2835+131)</f>
        <v>2966</v>
      </c>
      <c r="C17" s="14">
        <f>5789+487-B17</f>
        <v>3310</v>
      </c>
      <c r="D17" s="14">
        <f>8992+845-C17-B17</f>
        <v>3561</v>
      </c>
      <c r="E17" s="14">
        <f>13323+1213-SUM(B17:D17)</f>
        <v>4699</v>
      </c>
      <c r="F17" s="14">
        <f>3780+387</f>
        <v>4167</v>
      </c>
      <c r="G17" s="14">
        <f>7729+791-F17</f>
        <v>4353</v>
      </c>
      <c r="H17" s="14">
        <f>12043+1202-SUM(F17:G17)</f>
        <v>4725</v>
      </c>
      <c r="I17" s="14">
        <f>16383+2276-SUM(F17:H17)</f>
        <v>5414</v>
      </c>
      <c r="J17" s="14">
        <f>4646+802</f>
        <v>5448</v>
      </c>
      <c r="K17" s="14">
        <f>9352+1598-J17</f>
        <v>5502</v>
      </c>
      <c r="L17" s="14">
        <f>14359+2383-SUM(J17:K17)</f>
        <v>5792</v>
      </c>
      <c r="M17" s="14">
        <f>20743+3173-SUM(J17:L17)</f>
        <v>7174</v>
      </c>
      <c r="N17" s="14">
        <f>9350+920</f>
        <v>10270</v>
      </c>
      <c r="O17" s="14">
        <f>18986+1863-N17</f>
        <v>10579</v>
      </c>
      <c r="P17" s="14">
        <f>28971+3110-SUM(N17:O17)</f>
        <v>11232</v>
      </c>
      <c r="Q17" s="14">
        <f>39795+7481-SUM(N17:P17)</f>
        <v>15195</v>
      </c>
      <c r="R17" s="14">
        <f>7098+273</f>
        <v>7371</v>
      </c>
      <c r="S17" s="14">
        <f>14124+457-R17</f>
        <v>7210</v>
      </c>
      <c r="T17" s="14">
        <f>21121+699-SUM(R17:S17)</f>
        <v>7239</v>
      </c>
      <c r="U17" s="14">
        <f>30180+1004-SUM(R17:T17)</f>
        <v>9364</v>
      </c>
      <c r="V17" s="14">
        <f>5932+178</f>
        <v>6110</v>
      </c>
      <c r="W17" s="14">
        <f>9756+366-V17</f>
        <v>4012</v>
      </c>
      <c r="X17" s="14">
        <f>17904+678-SUM(V17:W17)</f>
        <v>8460</v>
      </c>
      <c r="Y17" s="14">
        <f>23129+2127-SUM(V17:X17)</f>
        <v>6674</v>
      </c>
      <c r="Z17" s="14">
        <f>5104+243</f>
        <v>5347</v>
      </c>
      <c r="AA17" s="14">
        <f>9964+560-Z17</f>
        <v>5177</v>
      </c>
      <c r="AB17" s="14">
        <f>14625+1014-SUM(Z17:AA17)</f>
        <v>5115</v>
      </c>
      <c r="AC17" s="14">
        <f>19253+1465-SUM(Z17:AB17)</f>
        <v>5079</v>
      </c>
      <c r="AD17" s="13"/>
    </row>
    <row r="18" spans="1:30" s="25" customFormat="1" x14ac:dyDescent="0.25">
      <c r="A18" s="22" t="s">
        <v>1728</v>
      </c>
      <c r="B18" s="23">
        <f>+SUM(B16:B17)</f>
        <v>2275</v>
      </c>
      <c r="C18" s="23">
        <f t="shared" ref="C18:AC18" si="7">+SUM(C16:C17)</f>
        <v>6204</v>
      </c>
      <c r="D18" s="23">
        <f t="shared" si="7"/>
        <v>11746</v>
      </c>
      <c r="E18" s="23">
        <f t="shared" si="7"/>
        <v>10955</v>
      </c>
      <c r="F18" s="23">
        <f t="shared" si="7"/>
        <v>1754</v>
      </c>
      <c r="G18" s="23">
        <f t="shared" si="7"/>
        <v>10344</v>
      </c>
      <c r="H18" s="23">
        <f t="shared" si="7"/>
        <v>12092</v>
      </c>
      <c r="I18" s="23">
        <f t="shared" si="7"/>
        <v>10481</v>
      </c>
      <c r="J18" s="23">
        <f t="shared" si="7"/>
        <v>2523</v>
      </c>
      <c r="K18" s="23">
        <f t="shared" si="7"/>
        <v>7954</v>
      </c>
      <c r="L18" s="23">
        <f t="shared" si="7"/>
        <v>11735</v>
      </c>
      <c r="M18" s="23">
        <f t="shared" si="7"/>
        <v>10535</v>
      </c>
      <c r="N18" s="23">
        <f t="shared" si="7"/>
        <v>6508</v>
      </c>
      <c r="O18" s="23">
        <f t="shared" si="7"/>
        <v>15059</v>
      </c>
      <c r="P18" s="23">
        <f t="shared" si="7"/>
        <v>18310</v>
      </c>
      <c r="Q18" s="23">
        <f t="shared" si="7"/>
        <v>15970</v>
      </c>
      <c r="R18" s="23">
        <f t="shared" si="7"/>
        <v>1370</v>
      </c>
      <c r="S18" s="23">
        <f t="shared" si="7"/>
        <v>-187</v>
      </c>
      <c r="T18" s="23">
        <f t="shared" si="7"/>
        <v>3532</v>
      </c>
      <c r="U18" s="23">
        <f t="shared" si="7"/>
        <v>-513</v>
      </c>
      <c r="V18" s="23">
        <f t="shared" si="7"/>
        <v>-2241</v>
      </c>
      <c r="W18" s="23">
        <f t="shared" si="7"/>
        <v>-2965</v>
      </c>
      <c r="X18" s="23">
        <f t="shared" si="7"/>
        <v>6117</v>
      </c>
      <c r="Y18" s="23">
        <f t="shared" si="7"/>
        <v>4713</v>
      </c>
      <c r="Z18" s="23">
        <f t="shared" si="7"/>
        <v>2992</v>
      </c>
      <c r="AA18" s="23">
        <f t="shared" si="7"/>
        <v>6886</v>
      </c>
      <c r="AB18" s="23">
        <f t="shared" si="7"/>
        <v>14262</v>
      </c>
      <c r="AC18" s="23">
        <f t="shared" si="7"/>
        <v>7821</v>
      </c>
      <c r="AD18" s="24"/>
    </row>
    <row r="19" spans="1:30" s="25" customFormat="1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4"/>
    </row>
    <row r="20" spans="1:30" x14ac:dyDescent="0.25">
      <c r="A20" s="8" t="s">
        <v>97</v>
      </c>
      <c r="B20" s="16">
        <v>117</v>
      </c>
      <c r="C20" s="16">
        <v>112</v>
      </c>
      <c r="D20" s="16">
        <v>117</v>
      </c>
      <c r="E20" s="16">
        <v>114</v>
      </c>
      <c r="F20" s="16">
        <v>93</v>
      </c>
      <c r="G20" s="16">
        <v>129</v>
      </c>
      <c r="H20" s="16">
        <v>180</v>
      </c>
      <c r="I20" s="16">
        <v>54</v>
      </c>
      <c r="J20" s="16">
        <v>136</v>
      </c>
      <c r="K20" s="16">
        <v>121</v>
      </c>
      <c r="L20" s="16">
        <v>197</v>
      </c>
      <c r="M20" s="16">
        <v>3643</v>
      </c>
      <c r="N20" s="16">
        <v>132</v>
      </c>
      <c r="O20" s="16">
        <v>136</v>
      </c>
      <c r="P20" s="16">
        <v>-1</v>
      </c>
      <c r="Q20" s="16">
        <v>137</v>
      </c>
      <c r="R20" s="16">
        <v>179</v>
      </c>
      <c r="S20" s="16">
        <v>94</v>
      </c>
      <c r="T20" s="16">
        <v>207</v>
      </c>
      <c r="U20" s="16">
        <v>171</v>
      </c>
      <c r="V20" s="16">
        <v>15</v>
      </c>
      <c r="W20" s="16">
        <v>140</v>
      </c>
      <c r="X20" s="16">
        <v>87</v>
      </c>
      <c r="Y20" s="16">
        <v>77</v>
      </c>
      <c r="Z20" s="16">
        <v>77</v>
      </c>
      <c r="AA20" s="16">
        <v>90</v>
      </c>
      <c r="AB20" s="16">
        <v>87</v>
      </c>
      <c r="AC20" s="16">
        <v>185</v>
      </c>
      <c r="AD20" s="13"/>
    </row>
    <row r="21" spans="1:30" x14ac:dyDescent="0.25">
      <c r="A21" s="6" t="s">
        <v>98</v>
      </c>
      <c r="B21" s="15">
        <v>-1902</v>
      </c>
      <c r="C21" s="15">
        <v>-1868</v>
      </c>
      <c r="D21" s="15">
        <v>-1906</v>
      </c>
      <c r="E21" s="15">
        <v>-1899</v>
      </c>
      <c r="F21" s="15">
        <v>-2154</v>
      </c>
      <c r="G21" s="15">
        <v>-2222</v>
      </c>
      <c r="H21" s="15">
        <v>-2107</v>
      </c>
      <c r="I21" s="15">
        <v>-4063</v>
      </c>
      <c r="J21" s="15">
        <v>-1954</v>
      </c>
      <c r="K21" s="15">
        <v>-2136</v>
      </c>
      <c r="L21" s="15">
        <v>-2484</v>
      </c>
      <c r="M21" s="15">
        <v>-2855</v>
      </c>
      <c r="N21" s="15">
        <v>-5442</v>
      </c>
      <c r="O21" s="15">
        <v>-5409</v>
      </c>
      <c r="P21" s="15">
        <v>-5457</v>
      </c>
      <c r="Q21" s="15">
        <v>-6734</v>
      </c>
      <c r="R21" s="15">
        <v>-6610</v>
      </c>
      <c r="S21" s="15">
        <v>-5837</v>
      </c>
      <c r="T21" s="15">
        <v>-5930</v>
      </c>
      <c r="U21" s="15">
        <v>-5662</v>
      </c>
      <c r="V21" s="15">
        <v>-6454</v>
      </c>
      <c r="W21" s="15">
        <v>-6587</v>
      </c>
      <c r="X21" s="15">
        <v>-5764</v>
      </c>
      <c r="Y21" s="15">
        <v>-6893</v>
      </c>
      <c r="Z21" s="15">
        <v>-6140</v>
      </c>
      <c r="AA21" s="15">
        <v>-6188</v>
      </c>
      <c r="AB21" s="15">
        <v>-6432</v>
      </c>
      <c r="AC21" s="15">
        <v>-6414</v>
      </c>
      <c r="AD21" s="13"/>
    </row>
    <row r="22" spans="1:30" x14ac:dyDescent="0.25">
      <c r="A22" s="8" t="s">
        <v>101</v>
      </c>
      <c r="B22" s="16">
        <v>1702</v>
      </c>
      <c r="C22" s="16">
        <v>987</v>
      </c>
      <c r="D22" s="16">
        <v>-2984</v>
      </c>
      <c r="E22" s="16">
        <v>741</v>
      </c>
      <c r="F22" s="16">
        <v>2583</v>
      </c>
      <c r="G22" s="16">
        <v>-466</v>
      </c>
      <c r="H22" s="16">
        <v>-650</v>
      </c>
      <c r="I22" s="16">
        <v>433</v>
      </c>
      <c r="J22" s="16">
        <v>268</v>
      </c>
      <c r="K22" s="16">
        <v>-1870</v>
      </c>
      <c r="L22" s="16">
        <v>-1363</v>
      </c>
      <c r="M22" s="16">
        <v>-3063</v>
      </c>
      <c r="N22" s="16">
        <v>5158</v>
      </c>
      <c r="O22" s="16">
        <v>2599</v>
      </c>
      <c r="P22" s="16">
        <v>-8905</v>
      </c>
      <c r="Q22" s="16">
        <v>3412</v>
      </c>
      <c r="R22" s="16">
        <v>-12989</v>
      </c>
      <c r="S22" s="16">
        <v>-10758</v>
      </c>
      <c r="T22" s="16">
        <v>-3585</v>
      </c>
      <c r="U22" s="16">
        <v>-1591</v>
      </c>
      <c r="V22" s="16">
        <v>-12278</v>
      </c>
      <c r="W22" s="16">
        <v>-10014</v>
      </c>
      <c r="X22" s="16">
        <v>-25761</v>
      </c>
      <c r="Y22" s="16">
        <v>13086</v>
      </c>
      <c r="Z22" s="16">
        <v>28341</v>
      </c>
      <c r="AA22" s="16">
        <v>-12208</v>
      </c>
      <c r="AB22" s="16">
        <v>-12913</v>
      </c>
      <c r="AC22" s="16">
        <v>13358</v>
      </c>
      <c r="AD22" s="13"/>
    </row>
    <row r="23" spans="1:30" x14ac:dyDescent="0.25">
      <c r="A23" s="6" t="s">
        <v>103</v>
      </c>
      <c r="B23" s="15">
        <v>0</v>
      </c>
      <c r="C23" s="15">
        <v>0</v>
      </c>
      <c r="D23" s="15">
        <v>0</v>
      </c>
      <c r="E23" s="15">
        <v>-233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-482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3"/>
    </row>
    <row r="24" spans="1:30" s="25" customFormat="1" x14ac:dyDescent="0.25">
      <c r="A24" s="22" t="s">
        <v>1731</v>
      </c>
      <c r="B24" s="23">
        <f t="shared" ref="B24:AC24" si="8">+SUM(B16,B20:B23)</f>
        <v>-774</v>
      </c>
      <c r="C24" s="23">
        <f t="shared" si="8"/>
        <v>2125</v>
      </c>
      <c r="D24" s="23">
        <f t="shared" si="8"/>
        <v>3412</v>
      </c>
      <c r="E24" s="23">
        <f t="shared" si="8"/>
        <v>4979</v>
      </c>
      <c r="F24" s="23">
        <f t="shared" si="8"/>
        <v>-1891</v>
      </c>
      <c r="G24" s="23">
        <f t="shared" si="8"/>
        <v>3432</v>
      </c>
      <c r="H24" s="23">
        <f t="shared" si="8"/>
        <v>4790</v>
      </c>
      <c r="I24" s="23">
        <f t="shared" si="8"/>
        <v>1491</v>
      </c>
      <c r="J24" s="23">
        <f t="shared" si="8"/>
        <v>-4475</v>
      </c>
      <c r="K24" s="23">
        <f t="shared" si="8"/>
        <v>-1433</v>
      </c>
      <c r="L24" s="23">
        <f t="shared" si="8"/>
        <v>2293</v>
      </c>
      <c r="M24" s="23">
        <f t="shared" si="8"/>
        <v>1086</v>
      </c>
      <c r="N24" s="23">
        <f t="shared" si="8"/>
        <v>-3914</v>
      </c>
      <c r="O24" s="23">
        <f t="shared" si="8"/>
        <v>1806</v>
      </c>
      <c r="P24" s="23">
        <f t="shared" si="8"/>
        <v>-7285</v>
      </c>
      <c r="Q24" s="23">
        <f t="shared" si="8"/>
        <v>-2410</v>
      </c>
      <c r="R24" s="23">
        <f t="shared" si="8"/>
        <v>-25421</v>
      </c>
      <c r="S24" s="23">
        <f t="shared" si="8"/>
        <v>-23898</v>
      </c>
      <c r="T24" s="23">
        <f t="shared" si="8"/>
        <v>-13015</v>
      </c>
      <c r="U24" s="23">
        <f t="shared" si="8"/>
        <v>-17441</v>
      </c>
      <c r="V24" s="23">
        <f t="shared" si="8"/>
        <v>-27068</v>
      </c>
      <c r="W24" s="23">
        <f t="shared" si="8"/>
        <v>-23438</v>
      </c>
      <c r="X24" s="23">
        <f t="shared" si="8"/>
        <v>-33781</v>
      </c>
      <c r="Y24" s="23">
        <f t="shared" si="8"/>
        <v>4309</v>
      </c>
      <c r="Z24" s="23">
        <f t="shared" si="8"/>
        <v>19923</v>
      </c>
      <c r="AA24" s="23">
        <f t="shared" si="8"/>
        <v>-16597</v>
      </c>
      <c r="AB24" s="23">
        <f t="shared" si="8"/>
        <v>-10111</v>
      </c>
      <c r="AC24" s="23">
        <f t="shared" si="8"/>
        <v>9871</v>
      </c>
      <c r="AD24" s="24"/>
    </row>
    <row r="25" spans="1:30" x14ac:dyDescent="0.25">
      <c r="A25" s="6" t="s">
        <v>1723</v>
      </c>
      <c r="B25" s="15">
        <v>0</v>
      </c>
      <c r="C25" s="15">
        <v>0</v>
      </c>
      <c r="D25" s="15">
        <v>-495</v>
      </c>
      <c r="E25" s="15">
        <v>-2205</v>
      </c>
      <c r="F25" s="15">
        <v>0</v>
      </c>
      <c r="G25" s="15">
        <v>-60</v>
      </c>
      <c r="H25" s="15">
        <v>50</v>
      </c>
      <c r="I25" s="15">
        <v>-43</v>
      </c>
      <c r="J25" s="15">
        <v>-120</v>
      </c>
      <c r="K25" s="15">
        <v>-180</v>
      </c>
      <c r="L25" s="15">
        <v>-180</v>
      </c>
      <c r="M25" s="15">
        <v>480</v>
      </c>
      <c r="N25" s="15">
        <v>40</v>
      </c>
      <c r="O25" s="15">
        <v>-122</v>
      </c>
      <c r="P25" s="15">
        <v>-468</v>
      </c>
      <c r="Q25" s="15">
        <v>590</v>
      </c>
      <c r="R25" s="15">
        <v>861</v>
      </c>
      <c r="S25" s="15">
        <v>4347</v>
      </c>
      <c r="T25" s="15">
        <v>0</v>
      </c>
      <c r="U25" s="15">
        <v>0</v>
      </c>
      <c r="V25" s="15">
        <v>7985</v>
      </c>
      <c r="W25" s="15">
        <v>6914</v>
      </c>
      <c r="X25" s="15">
        <v>9744</v>
      </c>
      <c r="Y25" s="15">
        <v>-951</v>
      </c>
      <c r="Z25" s="15">
        <v>0</v>
      </c>
      <c r="AA25" s="15">
        <v>0</v>
      </c>
      <c r="AB25" s="15">
        <v>13197</v>
      </c>
      <c r="AC25" s="15">
        <v>-17486</v>
      </c>
      <c r="AD25" s="13"/>
    </row>
    <row r="26" spans="1:30" s="25" customFormat="1" x14ac:dyDescent="0.25">
      <c r="A26" s="22" t="s">
        <v>114</v>
      </c>
      <c r="B26" s="23">
        <f>+SUM(B24:B25)</f>
        <v>-774</v>
      </c>
      <c r="C26" s="23">
        <f>+SUM(C24:C25)</f>
        <v>2125</v>
      </c>
      <c r="D26" s="23">
        <f>+SUM(D24:D25)</f>
        <v>2917</v>
      </c>
      <c r="E26" s="23">
        <f>+SUM(E24:E25)</f>
        <v>2774</v>
      </c>
      <c r="F26" s="23">
        <f t="shared" ref="F26:AC26" si="9">+SUM(F24:F25)</f>
        <v>-1891</v>
      </c>
      <c r="G26" s="23">
        <f t="shared" si="9"/>
        <v>3372</v>
      </c>
      <c r="H26" s="23">
        <f t="shared" si="9"/>
        <v>4840</v>
      </c>
      <c r="I26" s="23">
        <f t="shared" si="9"/>
        <v>1448</v>
      </c>
      <c r="J26" s="23">
        <f t="shared" si="9"/>
        <v>-4595</v>
      </c>
      <c r="K26" s="23">
        <f t="shared" si="9"/>
        <v>-1613</v>
      </c>
      <c r="L26" s="23">
        <f t="shared" si="9"/>
        <v>2113</v>
      </c>
      <c r="M26" s="23">
        <f t="shared" si="9"/>
        <v>1566</v>
      </c>
      <c r="N26" s="23">
        <f t="shared" si="9"/>
        <v>-3874</v>
      </c>
      <c r="O26" s="23">
        <f t="shared" si="9"/>
        <v>1684</v>
      </c>
      <c r="P26" s="23">
        <f t="shared" si="9"/>
        <v>-7753</v>
      </c>
      <c r="Q26" s="23">
        <f t="shared" si="9"/>
        <v>-1820</v>
      </c>
      <c r="R26" s="23">
        <f t="shared" si="9"/>
        <v>-24560</v>
      </c>
      <c r="S26" s="23">
        <f t="shared" si="9"/>
        <v>-19551</v>
      </c>
      <c r="T26" s="23">
        <f t="shared" si="9"/>
        <v>-13015</v>
      </c>
      <c r="U26" s="23">
        <f t="shared" si="9"/>
        <v>-17441</v>
      </c>
      <c r="V26" s="23">
        <f t="shared" si="9"/>
        <v>-19083</v>
      </c>
      <c r="W26" s="23">
        <f t="shared" si="9"/>
        <v>-16524</v>
      </c>
      <c r="X26" s="23">
        <f t="shared" si="9"/>
        <v>-24037</v>
      </c>
      <c r="Y26" s="23">
        <f t="shared" si="9"/>
        <v>3358</v>
      </c>
      <c r="Z26" s="23">
        <f t="shared" si="9"/>
        <v>19923</v>
      </c>
      <c r="AA26" s="23">
        <f t="shared" si="9"/>
        <v>-16597</v>
      </c>
      <c r="AB26" s="23">
        <f t="shared" si="9"/>
        <v>3086</v>
      </c>
      <c r="AC26" s="23">
        <f t="shared" si="9"/>
        <v>-7615</v>
      </c>
      <c r="AD26" s="24"/>
    </row>
    <row r="28" spans="1:30" ht="15.75" x14ac:dyDescent="0.25">
      <c r="A28" s="2" t="s">
        <v>6</v>
      </c>
    </row>
    <row r="29" spans="1:30" x14ac:dyDescent="0.25">
      <c r="A29" s="3" t="s">
        <v>7</v>
      </c>
    </row>
    <row r="30" spans="1:30" x14ac:dyDescent="0.25">
      <c r="A30" s="4" t="s">
        <v>11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30" x14ac:dyDescent="0.25">
      <c r="A31" s="4" t="s">
        <v>12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30" x14ac:dyDescent="0.25">
      <c r="A32" s="6" t="s">
        <v>13</v>
      </c>
      <c r="B32" s="15">
        <v>5267</v>
      </c>
      <c r="C32" s="15">
        <v>3253</v>
      </c>
      <c r="D32" s="15">
        <v>2052</v>
      </c>
      <c r="E32" s="15">
        <v>2392</v>
      </c>
      <c r="F32" s="15">
        <v>3751</v>
      </c>
      <c r="G32" s="15">
        <v>4938</v>
      </c>
      <c r="H32" s="15">
        <v>2130</v>
      </c>
      <c r="I32" s="15">
        <v>14577</v>
      </c>
      <c r="J32" s="15">
        <v>2462</v>
      </c>
      <c r="K32" s="15">
        <v>6432</v>
      </c>
      <c r="L32" s="15">
        <v>4147</v>
      </c>
      <c r="M32" s="15">
        <v>3308</v>
      </c>
      <c r="N32" s="15">
        <v>3992</v>
      </c>
      <c r="O32" s="15">
        <v>5244</v>
      </c>
      <c r="P32" s="15">
        <v>10518</v>
      </c>
      <c r="Q32" s="15">
        <v>53748</v>
      </c>
      <c r="R32" s="15">
        <v>26243</v>
      </c>
      <c r="S32" s="15">
        <v>19810</v>
      </c>
      <c r="T32" s="15">
        <v>15888</v>
      </c>
      <c r="U32" s="15">
        <v>18866</v>
      </c>
      <c r="V32" s="15">
        <v>13086</v>
      </c>
      <c r="W32" s="15">
        <v>10261</v>
      </c>
      <c r="X32" s="15">
        <v>12388</v>
      </c>
      <c r="Y32" s="15">
        <v>12860</v>
      </c>
      <c r="Z32" s="15">
        <v>8359</v>
      </c>
      <c r="AA32" s="15">
        <v>6477</v>
      </c>
      <c r="AB32" s="15">
        <v>10650</v>
      </c>
      <c r="AC32" s="15">
        <v>10785</v>
      </c>
    </row>
    <row r="33" spans="1:29" x14ac:dyDescent="0.25">
      <c r="A33" s="8" t="s">
        <v>14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204</v>
      </c>
      <c r="R33" s="16">
        <v>0</v>
      </c>
      <c r="S33" s="16">
        <v>0</v>
      </c>
      <c r="T33" s="16">
        <v>0</v>
      </c>
      <c r="U33" s="16">
        <v>0</v>
      </c>
      <c r="V33" s="15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</row>
    <row r="34" spans="1:29" x14ac:dyDescent="0.25">
      <c r="A34" s="6" t="s">
        <v>15</v>
      </c>
      <c r="B34" s="15">
        <v>12638</v>
      </c>
      <c r="C34" s="15">
        <v>16272</v>
      </c>
      <c r="D34" s="15">
        <v>19133</v>
      </c>
      <c r="E34" s="15">
        <v>20659</v>
      </c>
      <c r="F34" s="15">
        <v>17817</v>
      </c>
      <c r="G34" s="15">
        <v>21108</v>
      </c>
      <c r="H34" s="15">
        <v>21414</v>
      </c>
      <c r="I34" s="15">
        <v>22966</v>
      </c>
      <c r="J34" s="15">
        <v>18079</v>
      </c>
      <c r="K34" s="15">
        <v>20671</v>
      </c>
      <c r="L34" s="15">
        <v>23062</v>
      </c>
      <c r="M34" s="15">
        <v>30940</v>
      </c>
      <c r="N34" s="15">
        <v>20212</v>
      </c>
      <c r="O34" s="15">
        <v>22509</v>
      </c>
      <c r="P34" s="15">
        <v>22815</v>
      </c>
      <c r="Q34" s="15">
        <v>14939</v>
      </c>
      <c r="R34" s="15">
        <v>14645</v>
      </c>
      <c r="S34" s="15">
        <v>21746</v>
      </c>
      <c r="T34" s="15">
        <v>27823</v>
      </c>
      <c r="U34" s="15">
        <v>18907</v>
      </c>
      <c r="V34" s="15">
        <v>13823</v>
      </c>
      <c r="W34" s="15">
        <v>11753</v>
      </c>
      <c r="X34" s="15">
        <v>13910</v>
      </c>
      <c r="Y34" s="15">
        <v>12879</v>
      </c>
      <c r="Z34" s="15">
        <v>15776</v>
      </c>
      <c r="AA34" s="15">
        <v>24685</v>
      </c>
      <c r="AB34" s="15">
        <v>29278</v>
      </c>
      <c r="AC34" s="15">
        <v>12228</v>
      </c>
    </row>
    <row r="35" spans="1:29" x14ac:dyDescent="0.25">
      <c r="A35" s="8" t="s">
        <v>20</v>
      </c>
      <c r="B35" s="16">
        <v>1901</v>
      </c>
      <c r="C35" s="16">
        <v>1913</v>
      </c>
      <c r="D35" s="16">
        <v>1991</v>
      </c>
      <c r="E35" s="16">
        <v>1873</v>
      </c>
      <c r="F35" s="16">
        <v>1719</v>
      </c>
      <c r="G35" s="16">
        <v>1777</v>
      </c>
      <c r="H35" s="16">
        <v>2042</v>
      </c>
      <c r="I35" s="16">
        <v>1878</v>
      </c>
      <c r="J35" s="16">
        <v>1791</v>
      </c>
      <c r="K35" s="16">
        <v>2009</v>
      </c>
      <c r="L35" s="16">
        <v>2002</v>
      </c>
      <c r="M35" s="16">
        <v>2065</v>
      </c>
      <c r="N35" s="16">
        <v>2015</v>
      </c>
      <c r="O35" s="16">
        <v>2179</v>
      </c>
      <c r="P35" s="16">
        <v>2216</v>
      </c>
      <c r="Q35" s="16">
        <v>2222</v>
      </c>
      <c r="R35" s="16">
        <v>2426</v>
      </c>
      <c r="S35" s="16">
        <v>2375</v>
      </c>
      <c r="T35" s="16">
        <v>2342</v>
      </c>
      <c r="U35" s="16">
        <v>2226</v>
      </c>
      <c r="V35" s="15">
        <v>2118</v>
      </c>
      <c r="W35" s="16">
        <v>1989</v>
      </c>
      <c r="X35" s="16">
        <v>2336</v>
      </c>
      <c r="Y35" s="16">
        <v>2736</v>
      </c>
      <c r="Z35" s="16">
        <v>2868</v>
      </c>
      <c r="AA35" s="16">
        <v>2808</v>
      </c>
      <c r="AB35" s="16">
        <v>3586</v>
      </c>
      <c r="AC35" s="16">
        <v>3419</v>
      </c>
    </row>
    <row r="36" spans="1:29" x14ac:dyDescent="0.25">
      <c r="A36" s="6" t="s">
        <v>23</v>
      </c>
      <c r="B36" s="15">
        <v>9829</v>
      </c>
      <c r="C36" s="15">
        <v>8938</v>
      </c>
      <c r="D36" s="15">
        <v>8095</v>
      </c>
      <c r="E36" s="15">
        <v>793</v>
      </c>
      <c r="F36" s="15">
        <v>3466</v>
      </c>
      <c r="G36" s="15">
        <v>6356</v>
      </c>
      <c r="H36" s="15">
        <v>7502</v>
      </c>
      <c r="I36" s="15">
        <v>5818</v>
      </c>
      <c r="J36" s="15">
        <v>5034</v>
      </c>
      <c r="K36" s="15">
        <v>5118</v>
      </c>
      <c r="L36" s="15">
        <v>4694</v>
      </c>
      <c r="M36" s="15">
        <v>4220</v>
      </c>
      <c r="N36" s="15">
        <v>6207</v>
      </c>
      <c r="O36" s="15">
        <v>5808</v>
      </c>
      <c r="P36" s="15">
        <v>4933</v>
      </c>
      <c r="Q36" s="15">
        <v>3926</v>
      </c>
      <c r="R36" s="15">
        <v>2810</v>
      </c>
      <c r="S36" s="15">
        <v>3469</v>
      </c>
      <c r="T36" s="15">
        <v>3765</v>
      </c>
      <c r="U36" s="15">
        <v>3004</v>
      </c>
      <c r="V36" s="15">
        <v>5028</v>
      </c>
      <c r="W36" s="15">
        <v>5700</v>
      </c>
      <c r="X36" s="15">
        <v>6275</v>
      </c>
      <c r="Y36" s="15">
        <v>6387</v>
      </c>
      <c r="Z36" s="15">
        <v>6645</v>
      </c>
      <c r="AA36" s="15">
        <v>8215</v>
      </c>
      <c r="AB36" s="15">
        <v>7739</v>
      </c>
      <c r="AC36" s="15">
        <v>7931</v>
      </c>
    </row>
    <row r="37" spans="1:29" x14ac:dyDescent="0.25">
      <c r="A37" s="4" t="s">
        <v>28</v>
      </c>
      <c r="B37" s="14">
        <f>+SUM(B32:B36)</f>
        <v>29635</v>
      </c>
      <c r="C37" s="14">
        <f t="shared" ref="C37:AC37" si="10">+SUM(C32:C36)</f>
        <v>30376</v>
      </c>
      <c r="D37" s="14">
        <f t="shared" si="10"/>
        <v>31271</v>
      </c>
      <c r="E37" s="14">
        <f t="shared" si="10"/>
        <v>25717</v>
      </c>
      <c r="F37" s="14">
        <f t="shared" si="10"/>
        <v>26753</v>
      </c>
      <c r="G37" s="14">
        <f t="shared" si="10"/>
        <v>34179</v>
      </c>
      <c r="H37" s="14">
        <f t="shared" si="10"/>
        <v>33088</v>
      </c>
      <c r="I37" s="14">
        <f t="shared" si="10"/>
        <v>45239</v>
      </c>
      <c r="J37" s="14">
        <f t="shared" si="10"/>
        <v>27366</v>
      </c>
      <c r="K37" s="14">
        <f t="shared" si="10"/>
        <v>34230</v>
      </c>
      <c r="L37" s="14">
        <f t="shared" si="10"/>
        <v>33905</v>
      </c>
      <c r="M37" s="14">
        <f t="shared" si="10"/>
        <v>40533</v>
      </c>
      <c r="N37" s="14">
        <f t="shared" si="10"/>
        <v>32426</v>
      </c>
      <c r="O37" s="14">
        <f t="shared" si="10"/>
        <v>35740</v>
      </c>
      <c r="P37" s="14">
        <f t="shared" si="10"/>
        <v>40482</v>
      </c>
      <c r="Q37" s="14">
        <f t="shared" si="10"/>
        <v>75039</v>
      </c>
      <c r="R37" s="14">
        <f t="shared" si="10"/>
        <v>46124</v>
      </c>
      <c r="S37" s="14">
        <f t="shared" si="10"/>
        <v>47400</v>
      </c>
      <c r="T37" s="14">
        <f t="shared" si="10"/>
        <v>49818</v>
      </c>
      <c r="U37" s="14">
        <f t="shared" si="10"/>
        <v>43003</v>
      </c>
      <c r="V37" s="14">
        <f t="shared" si="10"/>
        <v>34055</v>
      </c>
      <c r="W37" s="14">
        <f t="shared" si="10"/>
        <v>29703</v>
      </c>
      <c r="X37" s="14">
        <f t="shared" si="10"/>
        <v>34909</v>
      </c>
      <c r="Y37" s="14">
        <f t="shared" si="10"/>
        <v>34862</v>
      </c>
      <c r="Z37" s="14">
        <f t="shared" si="10"/>
        <v>33648</v>
      </c>
      <c r="AA37" s="14">
        <f t="shared" si="10"/>
        <v>42185</v>
      </c>
      <c r="AB37" s="14">
        <f t="shared" si="10"/>
        <v>51253</v>
      </c>
      <c r="AC37" s="14">
        <f t="shared" si="10"/>
        <v>34363</v>
      </c>
    </row>
    <row r="38" spans="1:29" x14ac:dyDescent="0.25">
      <c r="A38" s="4" t="s">
        <v>29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x14ac:dyDescent="0.25">
      <c r="A39" s="6" t="s">
        <v>30</v>
      </c>
      <c r="B39" s="15">
        <v>12806</v>
      </c>
      <c r="C39" s="15">
        <v>12806</v>
      </c>
      <c r="D39" s="15">
        <v>12806</v>
      </c>
      <c r="E39" s="15">
        <v>12806</v>
      </c>
      <c r="F39" s="16">
        <v>12806</v>
      </c>
      <c r="G39" s="16">
        <v>12806</v>
      </c>
      <c r="H39" s="16">
        <v>12806</v>
      </c>
      <c r="I39" s="16">
        <v>12806</v>
      </c>
      <c r="J39" s="16">
        <v>12806</v>
      </c>
      <c r="K39" s="16">
        <v>12806</v>
      </c>
      <c r="L39" s="16">
        <v>12806</v>
      </c>
      <c r="M39" s="16">
        <v>12806</v>
      </c>
      <c r="N39" s="16">
        <v>12806</v>
      </c>
      <c r="O39" s="16">
        <v>12806</v>
      </c>
      <c r="P39" s="16">
        <v>12806</v>
      </c>
      <c r="Q39" s="16">
        <v>12806</v>
      </c>
      <c r="R39" s="16">
        <v>12806</v>
      </c>
      <c r="S39" s="16">
        <v>12806</v>
      </c>
      <c r="T39" s="16">
        <v>12806</v>
      </c>
      <c r="U39" s="16">
        <v>12806</v>
      </c>
      <c r="V39" s="15">
        <v>12806</v>
      </c>
      <c r="W39" s="16">
        <v>26443</v>
      </c>
      <c r="X39" s="16">
        <v>63149</v>
      </c>
      <c r="Y39" s="16">
        <v>63149</v>
      </c>
      <c r="Z39" s="16">
        <v>49275</v>
      </c>
      <c r="AA39" s="16">
        <v>49275</v>
      </c>
      <c r="AB39" s="16">
        <v>49275</v>
      </c>
      <c r="AC39" s="16">
        <v>41602</v>
      </c>
    </row>
    <row r="40" spans="1:29" x14ac:dyDescent="0.25">
      <c r="A40" s="8" t="s">
        <v>15</v>
      </c>
      <c r="B40" s="16">
        <v>5009</v>
      </c>
      <c r="C40" s="16">
        <v>3655</v>
      </c>
      <c r="D40" s="16">
        <v>3858</v>
      </c>
      <c r="E40" s="16">
        <v>3628</v>
      </c>
      <c r="F40" s="15">
        <v>7573</v>
      </c>
      <c r="G40" s="15">
        <v>8497</v>
      </c>
      <c r="H40" s="15">
        <v>8815</v>
      </c>
      <c r="I40" s="15">
        <v>8833</v>
      </c>
      <c r="J40" s="15">
        <v>10131</v>
      </c>
      <c r="K40" s="15">
        <v>11745</v>
      </c>
      <c r="L40" s="15">
        <v>11955</v>
      </c>
      <c r="M40" s="15">
        <v>6688</v>
      </c>
      <c r="N40" s="15">
        <v>6494</v>
      </c>
      <c r="O40" s="15">
        <v>6444</v>
      </c>
      <c r="P40" s="15">
        <v>6491</v>
      </c>
      <c r="Q40" s="15">
        <v>17089</v>
      </c>
      <c r="R40" s="15">
        <v>18982</v>
      </c>
      <c r="S40" s="15">
        <v>19352</v>
      </c>
      <c r="T40" s="15">
        <v>20450</v>
      </c>
      <c r="U40" s="15">
        <v>20144</v>
      </c>
      <c r="V40" s="15">
        <v>21124</v>
      </c>
      <c r="W40" s="15">
        <v>8393</v>
      </c>
      <c r="X40" s="15">
        <v>9055</v>
      </c>
      <c r="Y40" s="15">
        <v>9154</v>
      </c>
      <c r="Z40" s="15">
        <v>9022</v>
      </c>
      <c r="AA40" s="15">
        <v>9621</v>
      </c>
      <c r="AB40" s="15">
        <v>10164</v>
      </c>
      <c r="AC40" s="15">
        <v>10482</v>
      </c>
    </row>
    <row r="41" spans="1:29" x14ac:dyDescent="0.25">
      <c r="A41" s="6" t="s">
        <v>34</v>
      </c>
      <c r="B41" s="15">
        <v>163085</v>
      </c>
      <c r="C41" s="15">
        <v>167586</v>
      </c>
      <c r="D41" s="15">
        <v>172786</v>
      </c>
      <c r="E41" s="15">
        <v>178832</v>
      </c>
      <c r="F41" s="15">
        <v>182154</v>
      </c>
      <c r="G41" s="15">
        <v>183910</v>
      </c>
      <c r="H41" s="15">
        <v>187569</v>
      </c>
      <c r="I41" s="15">
        <v>194778</v>
      </c>
      <c r="J41" s="15">
        <v>200203</v>
      </c>
      <c r="K41" s="15">
        <v>206790</v>
      </c>
      <c r="L41" s="15">
        <v>209089</v>
      </c>
      <c r="M41" s="15">
        <v>207987</v>
      </c>
      <c r="N41" s="15">
        <v>382345</v>
      </c>
      <c r="O41" s="15">
        <v>376961</v>
      </c>
      <c r="P41" s="15">
        <v>372629</v>
      </c>
      <c r="Q41" s="15">
        <v>377119</v>
      </c>
      <c r="R41" s="15">
        <v>206742</v>
      </c>
      <c r="S41" s="15">
        <v>200641</v>
      </c>
      <c r="T41" s="15">
        <v>192076</v>
      </c>
      <c r="U41" s="15">
        <v>191827</v>
      </c>
      <c r="V41" s="15">
        <v>186036</v>
      </c>
      <c r="W41" s="15">
        <v>206503</v>
      </c>
      <c r="X41" s="15">
        <v>199660</v>
      </c>
      <c r="Y41" s="15">
        <v>201252</v>
      </c>
      <c r="Z41" s="15">
        <v>197379</v>
      </c>
      <c r="AA41" s="15">
        <v>191453</v>
      </c>
      <c r="AB41" s="15">
        <v>189013</v>
      </c>
      <c r="AC41" s="15">
        <v>179354</v>
      </c>
    </row>
    <row r="42" spans="1:29" x14ac:dyDescent="0.25">
      <c r="A42" s="8" t="s">
        <v>35</v>
      </c>
      <c r="B42" s="16">
        <v>2213</v>
      </c>
      <c r="C42" s="16">
        <v>8203</v>
      </c>
      <c r="D42" s="16">
        <v>7960</v>
      </c>
      <c r="E42" s="16">
        <v>8010</v>
      </c>
      <c r="F42" s="16">
        <v>7774</v>
      </c>
      <c r="G42" s="16">
        <v>7611</v>
      </c>
      <c r="H42" s="16">
        <v>7395</v>
      </c>
      <c r="I42" s="16">
        <v>10931</v>
      </c>
      <c r="J42" s="16">
        <v>15160</v>
      </c>
      <c r="K42" s="16">
        <v>14376</v>
      </c>
      <c r="L42" s="16">
        <v>13750</v>
      </c>
      <c r="M42" s="16">
        <v>13231</v>
      </c>
      <c r="N42" s="16">
        <v>13007</v>
      </c>
      <c r="O42" s="16">
        <v>12222</v>
      </c>
      <c r="P42" s="16">
        <v>12624</v>
      </c>
      <c r="Q42" s="16">
        <v>42490</v>
      </c>
      <c r="R42" s="16">
        <v>3045</v>
      </c>
      <c r="S42" s="16">
        <v>2937</v>
      </c>
      <c r="T42" s="16">
        <v>3090</v>
      </c>
      <c r="U42" s="16">
        <v>3044</v>
      </c>
      <c r="V42" s="15">
        <v>3212</v>
      </c>
      <c r="W42" s="16">
        <v>3057</v>
      </c>
      <c r="X42" s="16">
        <v>2742</v>
      </c>
      <c r="Y42" s="16">
        <v>2009</v>
      </c>
      <c r="Z42" s="16">
        <v>1766</v>
      </c>
      <c r="AA42" s="16">
        <v>8657</v>
      </c>
      <c r="AB42" s="16">
        <v>8226</v>
      </c>
      <c r="AC42" s="16">
        <v>8776</v>
      </c>
    </row>
    <row r="43" spans="1:29" x14ac:dyDescent="0.25">
      <c r="A43" s="6" t="s">
        <v>36</v>
      </c>
      <c r="B43" s="15">
        <v>0</v>
      </c>
      <c r="C43" s="15">
        <v>0</v>
      </c>
      <c r="D43" s="15">
        <v>0</v>
      </c>
      <c r="E43" s="15">
        <v>0</v>
      </c>
      <c r="F43" s="16">
        <v>0</v>
      </c>
      <c r="G43" s="16">
        <v>0</v>
      </c>
      <c r="H43" s="16">
        <v>0</v>
      </c>
      <c r="I43" s="16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11867</v>
      </c>
      <c r="W43" s="15">
        <v>11850</v>
      </c>
      <c r="X43" s="15">
        <v>10766</v>
      </c>
      <c r="Y43" s="15">
        <v>8147</v>
      </c>
      <c r="Z43" s="15">
        <v>30546</v>
      </c>
      <c r="AA43" s="15">
        <v>30546</v>
      </c>
      <c r="AB43" s="15">
        <v>34740</v>
      </c>
      <c r="AC43" s="15">
        <v>36856</v>
      </c>
    </row>
    <row r="44" spans="1:29" x14ac:dyDescent="0.25">
      <c r="A44" s="6" t="s">
        <v>23</v>
      </c>
      <c r="B44" s="15">
        <v>0</v>
      </c>
      <c r="C44" s="15">
        <v>0</v>
      </c>
      <c r="D44" s="15">
        <v>0</v>
      </c>
      <c r="E44" s="15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5">
        <v>0</v>
      </c>
      <c r="O44" s="15">
        <v>0</v>
      </c>
      <c r="P44" s="15">
        <v>0</v>
      </c>
      <c r="Q44" s="15">
        <v>0</v>
      </c>
      <c r="R44" s="16">
        <v>182767</v>
      </c>
      <c r="S44" s="16">
        <v>180317</v>
      </c>
      <c r="T44" s="16">
        <v>138803</v>
      </c>
      <c r="U44" s="16">
        <v>135988</v>
      </c>
      <c r="V44" s="15">
        <v>133172</v>
      </c>
      <c r="W44" s="16">
        <v>131295</v>
      </c>
      <c r="X44" s="16">
        <v>127542</v>
      </c>
      <c r="Y44" s="16">
        <v>124726</v>
      </c>
      <c r="Z44" s="16">
        <v>113168</v>
      </c>
      <c r="AA44" s="16">
        <v>110452</v>
      </c>
      <c r="AB44" s="16">
        <v>103839</v>
      </c>
      <c r="AC44" s="16">
        <v>101186</v>
      </c>
    </row>
    <row r="45" spans="1:29" x14ac:dyDescent="0.25">
      <c r="A45" s="4" t="s">
        <v>38</v>
      </c>
      <c r="B45" s="14">
        <f>+SUM(B39:B44)</f>
        <v>183113</v>
      </c>
      <c r="C45" s="14">
        <f t="shared" ref="C45:I45" si="11">+SUM(C39:C44)</f>
        <v>192250</v>
      </c>
      <c r="D45" s="14">
        <f t="shared" si="11"/>
        <v>197410</v>
      </c>
      <c r="E45" s="14">
        <f t="shared" si="11"/>
        <v>203276</v>
      </c>
      <c r="F45" s="14">
        <f t="shared" si="11"/>
        <v>210307</v>
      </c>
      <c r="G45" s="14">
        <f t="shared" si="11"/>
        <v>212824</v>
      </c>
      <c r="H45" s="14">
        <f t="shared" si="11"/>
        <v>216585</v>
      </c>
      <c r="I45" s="14">
        <f t="shared" si="11"/>
        <v>227348</v>
      </c>
      <c r="J45" s="14">
        <f t="shared" ref="J45" si="12">+SUM(J39:J44)</f>
        <v>238300</v>
      </c>
      <c r="K45" s="14">
        <f t="shared" ref="K45" si="13">+SUM(K39:K44)</f>
        <v>245717</v>
      </c>
      <c r="L45" s="14">
        <f t="shared" ref="L45" si="14">+SUM(L39:L44)</f>
        <v>247600</v>
      </c>
      <c r="M45" s="14">
        <f t="shared" ref="M45" si="15">+SUM(M39:M44)</f>
        <v>240712</v>
      </c>
      <c r="N45" s="14">
        <f t="shared" ref="N45" si="16">+SUM(N39:N44)</f>
        <v>414652</v>
      </c>
      <c r="O45" s="14">
        <f t="shared" ref="O45:P45" si="17">+SUM(O39:O44)</f>
        <v>408433</v>
      </c>
      <c r="P45" s="14">
        <f t="shared" si="17"/>
        <v>404550</v>
      </c>
      <c r="Q45" s="14">
        <f t="shared" ref="Q45" si="18">+SUM(Q39:Q44)</f>
        <v>449504</v>
      </c>
      <c r="R45" s="14">
        <f t="shared" ref="R45" si="19">+SUM(R39:R44)</f>
        <v>424342</v>
      </c>
      <c r="S45" s="14">
        <f t="shared" ref="S45" si="20">+SUM(S39:S44)</f>
        <v>416053</v>
      </c>
      <c r="T45" s="14">
        <f t="shared" ref="T45" si="21">+SUM(T39:T44)</f>
        <v>367225</v>
      </c>
      <c r="U45" s="14">
        <f t="shared" ref="U45" si="22">+SUM(U39:U44)</f>
        <v>363809</v>
      </c>
      <c r="V45" s="14">
        <f t="shared" ref="V45:W45" si="23">+SUM(V39:V44)</f>
        <v>368217</v>
      </c>
      <c r="W45" s="14">
        <f t="shared" si="23"/>
        <v>387541</v>
      </c>
      <c r="X45" s="14">
        <f t="shared" ref="X45" si="24">+SUM(X39:X44)</f>
        <v>412914</v>
      </c>
      <c r="Y45" s="14">
        <f t="shared" ref="Y45" si="25">+SUM(Y39:Y44)</f>
        <v>408437</v>
      </c>
      <c r="Z45" s="14">
        <f t="shared" ref="Z45" si="26">+SUM(Z39:Z44)</f>
        <v>401156</v>
      </c>
      <c r="AA45" s="14">
        <f t="shared" ref="AA45" si="27">+SUM(AA39:AA44)</f>
        <v>400004</v>
      </c>
      <c r="AB45" s="14">
        <f t="shared" ref="AB45" si="28">+SUM(AB39:AB44)</f>
        <v>395257</v>
      </c>
      <c r="AC45" s="14">
        <f t="shared" ref="AC45" si="29">+SUM(AC39:AC44)</f>
        <v>378256</v>
      </c>
    </row>
    <row r="46" spans="1:29" x14ac:dyDescent="0.25">
      <c r="A46" s="4" t="s">
        <v>39</v>
      </c>
      <c r="B46" s="14">
        <f>+B37+B45</f>
        <v>212748</v>
      </c>
      <c r="C46" s="14">
        <f t="shared" ref="C46:K46" si="30">+C37+C45</f>
        <v>222626</v>
      </c>
      <c r="D46" s="14">
        <f t="shared" si="30"/>
        <v>228681</v>
      </c>
      <c r="E46" s="14">
        <f t="shared" si="30"/>
        <v>228993</v>
      </c>
      <c r="F46" s="14">
        <f t="shared" si="30"/>
        <v>237060</v>
      </c>
      <c r="G46" s="14">
        <f t="shared" si="30"/>
        <v>247003</v>
      </c>
      <c r="H46" s="14">
        <f t="shared" si="30"/>
        <v>249673</v>
      </c>
      <c r="I46" s="14">
        <f t="shared" si="30"/>
        <v>272587</v>
      </c>
      <c r="J46" s="14">
        <f t="shared" si="30"/>
        <v>265666</v>
      </c>
      <c r="K46" s="14">
        <f t="shared" si="30"/>
        <v>279947</v>
      </c>
      <c r="L46" s="14">
        <f t="shared" ref="L46" si="31">+L37+L45</f>
        <v>281505</v>
      </c>
      <c r="M46" s="14">
        <f t="shared" ref="M46" si="32">+M37+M45</f>
        <v>281245</v>
      </c>
      <c r="N46" s="14">
        <f t="shared" ref="N46" si="33">+N37+N45</f>
        <v>447078</v>
      </c>
      <c r="O46" s="14">
        <f t="shared" ref="O46" si="34">+O37+O45</f>
        <v>444173</v>
      </c>
      <c r="P46" s="14">
        <f t="shared" ref="P46" si="35">+P37+P45</f>
        <v>445032</v>
      </c>
      <c r="Q46" s="14">
        <f t="shared" ref="Q46" si="36">+Q37+Q45</f>
        <v>524543</v>
      </c>
      <c r="R46" s="14">
        <f t="shared" ref="R46" si="37">+R37+R45</f>
        <v>470466</v>
      </c>
      <c r="S46" s="14">
        <f t="shared" ref="S46:T46" si="38">+S37+S45</f>
        <v>463453</v>
      </c>
      <c r="T46" s="14">
        <f t="shared" si="38"/>
        <v>417043</v>
      </c>
      <c r="U46" s="14">
        <f t="shared" ref="U46" si="39">+U37+U45</f>
        <v>406812</v>
      </c>
      <c r="V46" s="14">
        <f t="shared" ref="V46" si="40">+V37+V45</f>
        <v>402272</v>
      </c>
      <c r="W46" s="14">
        <f t="shared" ref="W46" si="41">+W37+W45</f>
        <v>417244</v>
      </c>
      <c r="X46" s="14">
        <f t="shared" ref="X46" si="42">+X37+X45</f>
        <v>447823</v>
      </c>
      <c r="Y46" s="14">
        <f t="shared" ref="Y46" si="43">+Y37+Y45</f>
        <v>443299</v>
      </c>
      <c r="Z46" s="14">
        <f t="shared" ref="Z46" si="44">+Z37+Z45</f>
        <v>434804</v>
      </c>
      <c r="AA46" s="14">
        <f t="shared" ref="AA46" si="45">+AA37+AA45</f>
        <v>442189</v>
      </c>
      <c r="AB46" s="14">
        <f t="shared" ref="AB46:AC46" si="46">+AB37+AB45</f>
        <v>446510</v>
      </c>
      <c r="AC46" s="14">
        <f t="shared" si="46"/>
        <v>412619</v>
      </c>
    </row>
    <row r="47" spans="1:29" x14ac:dyDescent="0.25">
      <c r="A47" s="4" t="s">
        <v>40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x14ac:dyDescent="0.25">
      <c r="A48" s="4" t="s">
        <v>41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x14ac:dyDescent="0.25">
      <c r="A49" s="8" t="s">
        <v>42</v>
      </c>
      <c r="B49" s="16">
        <v>6489</v>
      </c>
      <c r="C49" s="16">
        <v>6998</v>
      </c>
      <c r="D49" s="16">
        <v>11142</v>
      </c>
      <c r="E49" s="16">
        <v>15484</v>
      </c>
      <c r="F49" s="16">
        <v>8928</v>
      </c>
      <c r="G49" s="16">
        <v>14510</v>
      </c>
      <c r="H49" s="16">
        <v>13413</v>
      </c>
      <c r="I49" s="16">
        <v>17780</v>
      </c>
      <c r="J49" s="16">
        <v>16893</v>
      </c>
      <c r="K49" s="16">
        <v>14226</v>
      </c>
      <c r="L49" s="16">
        <v>15295</v>
      </c>
      <c r="M49" s="16">
        <v>19944</v>
      </c>
      <c r="N49" s="16">
        <v>140777</v>
      </c>
      <c r="O49" s="16">
        <v>139066</v>
      </c>
      <c r="P49" s="16">
        <v>45827</v>
      </c>
      <c r="Q49" s="16">
        <v>9916</v>
      </c>
      <c r="R49" s="16">
        <v>1166</v>
      </c>
      <c r="S49" s="16">
        <v>1412</v>
      </c>
      <c r="T49" s="16">
        <v>4325</v>
      </c>
      <c r="U49" s="16">
        <v>5755</v>
      </c>
      <c r="V49" s="15">
        <v>6114</v>
      </c>
      <c r="W49" s="16">
        <v>7775</v>
      </c>
      <c r="X49" s="16">
        <v>8327</v>
      </c>
      <c r="Y49" s="16">
        <v>4322</v>
      </c>
      <c r="Z49" s="16">
        <v>5011</v>
      </c>
      <c r="AA49" s="16">
        <v>5733</v>
      </c>
      <c r="AB49" s="16">
        <v>3143</v>
      </c>
      <c r="AC49" s="16">
        <v>3863</v>
      </c>
    </row>
    <row r="50" spans="1:29" x14ac:dyDescent="0.25">
      <c r="A50" s="6" t="s">
        <v>43</v>
      </c>
      <c r="B50" s="15">
        <v>24765</v>
      </c>
      <c r="C50" s="15">
        <v>30334</v>
      </c>
      <c r="D50" s="15">
        <v>29460</v>
      </c>
      <c r="E50" s="15">
        <v>25342</v>
      </c>
      <c r="F50" s="15">
        <v>23915</v>
      </c>
      <c r="G50" s="15">
        <v>26928</v>
      </c>
      <c r="H50" s="15">
        <v>28726</v>
      </c>
      <c r="I50" s="15">
        <v>27675</v>
      </c>
      <c r="J50" s="15">
        <v>37636</v>
      </c>
      <c r="K50" s="15">
        <v>38072</v>
      </c>
      <c r="L50" s="15">
        <v>39349</v>
      </c>
      <c r="M50" s="15">
        <v>41164</v>
      </c>
      <c r="N50" s="15">
        <v>35854</v>
      </c>
      <c r="O50" s="15">
        <v>36880</v>
      </c>
      <c r="P50" s="15">
        <v>36174</v>
      </c>
      <c r="Q50" s="15">
        <v>41825</v>
      </c>
      <c r="R50" s="15">
        <v>31826</v>
      </c>
      <c r="S50" s="15">
        <v>28058</v>
      </c>
      <c r="T50" s="15">
        <v>23889</v>
      </c>
      <c r="U50" s="15">
        <v>21541</v>
      </c>
      <c r="V50" s="15">
        <v>23121</v>
      </c>
      <c r="W50" s="15">
        <v>28082</v>
      </c>
      <c r="X50" s="15">
        <v>29511</v>
      </c>
      <c r="Y50" s="15">
        <v>28058</v>
      </c>
      <c r="Z50" s="15">
        <v>29426</v>
      </c>
      <c r="AA50" s="15">
        <v>44723</v>
      </c>
      <c r="AB50" s="15">
        <v>47871</v>
      </c>
      <c r="AC50" s="15">
        <v>34554</v>
      </c>
    </row>
    <row r="51" spans="1:29" x14ac:dyDescent="0.25">
      <c r="A51" s="6" t="s">
        <v>51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10543</v>
      </c>
      <c r="S51" s="15">
        <v>11541</v>
      </c>
      <c r="T51" s="15">
        <v>10490</v>
      </c>
      <c r="U51" s="15">
        <v>9644</v>
      </c>
      <c r="V51" s="15">
        <v>9229</v>
      </c>
      <c r="W51" s="15">
        <v>9631</v>
      </c>
      <c r="X51" s="15">
        <v>10400</v>
      </c>
      <c r="Y51" s="15">
        <v>10108</v>
      </c>
      <c r="Z51" s="15">
        <v>9458</v>
      </c>
      <c r="AA51" s="15">
        <v>9841</v>
      </c>
      <c r="AB51" s="15">
        <v>10482</v>
      </c>
      <c r="AC51" s="15">
        <v>10259</v>
      </c>
    </row>
    <row r="52" spans="1:29" x14ac:dyDescent="0.25">
      <c r="A52" s="4" t="s">
        <v>54</v>
      </c>
      <c r="B52" s="14">
        <f>+SUM(B49:B51)</f>
        <v>31254</v>
      </c>
      <c r="C52" s="14">
        <f t="shared" ref="C52:AC52" si="47">+SUM(C49:C51)</f>
        <v>37332</v>
      </c>
      <c r="D52" s="14">
        <f t="shared" si="47"/>
        <v>40602</v>
      </c>
      <c r="E52" s="14">
        <f t="shared" si="47"/>
        <v>40826</v>
      </c>
      <c r="F52" s="14">
        <f t="shared" si="47"/>
        <v>32843</v>
      </c>
      <c r="G52" s="14">
        <f t="shared" si="47"/>
        <v>41438</v>
      </c>
      <c r="H52" s="14">
        <f t="shared" si="47"/>
        <v>42139</v>
      </c>
      <c r="I52" s="14">
        <f t="shared" si="47"/>
        <v>45455</v>
      </c>
      <c r="J52" s="14">
        <f t="shared" si="47"/>
        <v>54529</v>
      </c>
      <c r="K52" s="14">
        <f t="shared" si="47"/>
        <v>52298</v>
      </c>
      <c r="L52" s="14">
        <f t="shared" si="47"/>
        <v>54644</v>
      </c>
      <c r="M52" s="14">
        <f t="shared" si="47"/>
        <v>61108</v>
      </c>
      <c r="N52" s="14">
        <f t="shared" si="47"/>
        <v>176631</v>
      </c>
      <c r="O52" s="14">
        <f t="shared" si="47"/>
        <v>175946</v>
      </c>
      <c r="P52" s="14">
        <f t="shared" si="47"/>
        <v>82001</v>
      </c>
      <c r="Q52" s="14">
        <f t="shared" si="47"/>
        <v>51741</v>
      </c>
      <c r="R52" s="14">
        <f t="shared" si="47"/>
        <v>43535</v>
      </c>
      <c r="S52" s="14">
        <f t="shared" si="47"/>
        <v>41011</v>
      </c>
      <c r="T52" s="14">
        <f t="shared" si="47"/>
        <v>38704</v>
      </c>
      <c r="U52" s="14">
        <f t="shared" si="47"/>
        <v>36940</v>
      </c>
      <c r="V52" s="14">
        <f t="shared" si="47"/>
        <v>38464</v>
      </c>
      <c r="W52" s="14">
        <f t="shared" si="47"/>
        <v>45488</v>
      </c>
      <c r="X52" s="14">
        <f t="shared" si="47"/>
        <v>48238</v>
      </c>
      <c r="Y52" s="14">
        <f t="shared" si="47"/>
        <v>42488</v>
      </c>
      <c r="Z52" s="14">
        <f t="shared" si="47"/>
        <v>43895</v>
      </c>
      <c r="AA52" s="14">
        <f t="shared" si="47"/>
        <v>60297</v>
      </c>
      <c r="AB52" s="14">
        <f t="shared" si="47"/>
        <v>61496</v>
      </c>
      <c r="AC52" s="14">
        <f t="shared" si="47"/>
        <v>48676</v>
      </c>
    </row>
    <row r="53" spans="1:29" x14ac:dyDescent="0.25">
      <c r="A53" s="4" t="s">
        <v>55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1:29" x14ac:dyDescent="0.25">
      <c r="A54" s="8" t="s">
        <v>42</v>
      </c>
      <c r="B54" s="16">
        <v>74904</v>
      </c>
      <c r="C54" s="16">
        <v>72345</v>
      </c>
      <c r="D54" s="16">
        <v>72618</v>
      </c>
      <c r="E54" s="16">
        <v>70801</v>
      </c>
      <c r="F54" s="16">
        <v>88823</v>
      </c>
      <c r="G54" s="16">
        <v>87132</v>
      </c>
      <c r="H54" s="16">
        <v>84790</v>
      </c>
      <c r="I54" s="16">
        <v>99417</v>
      </c>
      <c r="J54" s="16">
        <v>95839</v>
      </c>
      <c r="K54" s="16">
        <v>116901</v>
      </c>
      <c r="L54" s="16">
        <v>113815</v>
      </c>
      <c r="M54" s="16">
        <v>112158</v>
      </c>
      <c r="N54" s="16">
        <v>168831</v>
      </c>
      <c r="O54" s="16">
        <v>165429</v>
      </c>
      <c r="P54" s="16">
        <v>268363</v>
      </c>
      <c r="Q54" s="16">
        <v>350354</v>
      </c>
      <c r="R54" s="16">
        <v>185381</v>
      </c>
      <c r="S54" s="16">
        <v>200079</v>
      </c>
      <c r="T54" s="16">
        <v>200799</v>
      </c>
      <c r="U54" s="16">
        <v>201165</v>
      </c>
      <c r="V54" s="15">
        <v>207285</v>
      </c>
      <c r="W54" s="16">
        <v>211560</v>
      </c>
      <c r="X54" s="16">
        <v>228814</v>
      </c>
      <c r="Y54" s="16">
        <v>219709</v>
      </c>
      <c r="Z54" s="16">
        <v>202490</v>
      </c>
      <c r="AA54" s="16">
        <v>207880</v>
      </c>
      <c r="AB54" s="16">
        <v>218289</v>
      </c>
      <c r="AC54" s="16">
        <v>208153</v>
      </c>
    </row>
    <row r="55" spans="1:29" x14ac:dyDescent="0.25">
      <c r="A55" s="6" t="s">
        <v>43</v>
      </c>
      <c r="B55" s="15">
        <v>5094</v>
      </c>
      <c r="C55" s="15">
        <v>10251</v>
      </c>
      <c r="D55" s="15">
        <v>9835</v>
      </c>
      <c r="E55" s="15">
        <v>9046</v>
      </c>
      <c r="F55" s="15">
        <v>8329</v>
      </c>
      <c r="G55" s="15">
        <v>7792</v>
      </c>
      <c r="H55" s="15">
        <v>7182</v>
      </c>
      <c r="I55" s="15">
        <v>10510</v>
      </c>
      <c r="J55" s="15">
        <v>11657</v>
      </c>
      <c r="K55" s="15">
        <v>8594</v>
      </c>
      <c r="L55" s="15">
        <v>8619</v>
      </c>
      <c r="M55" s="15">
        <v>8975</v>
      </c>
      <c r="N55" s="15">
        <v>6956</v>
      </c>
      <c r="O55" s="15">
        <v>6197</v>
      </c>
      <c r="P55" s="15">
        <v>5659</v>
      </c>
      <c r="Q55" s="15">
        <v>34998</v>
      </c>
      <c r="R55" s="15">
        <v>1647</v>
      </c>
      <c r="S55" s="15">
        <v>2048</v>
      </c>
      <c r="T55" s="15">
        <v>1632</v>
      </c>
      <c r="U55" s="15">
        <v>2115</v>
      </c>
      <c r="V55" s="15">
        <v>2463</v>
      </c>
      <c r="W55" s="15">
        <v>2370</v>
      </c>
      <c r="X55" s="15">
        <v>2838</v>
      </c>
      <c r="Y55" s="15">
        <v>2997</v>
      </c>
      <c r="Z55" s="15">
        <v>2906</v>
      </c>
      <c r="AA55" s="15">
        <v>2814</v>
      </c>
      <c r="AB55" s="15">
        <v>2253</v>
      </c>
      <c r="AC55" s="15">
        <v>2253</v>
      </c>
    </row>
    <row r="56" spans="1:29" x14ac:dyDescent="0.25">
      <c r="A56" s="8" t="s">
        <v>57</v>
      </c>
      <c r="B56" s="16">
        <v>9606</v>
      </c>
      <c r="C56" s="16">
        <v>9800</v>
      </c>
      <c r="D56" s="16">
        <v>9803</v>
      </c>
      <c r="E56" s="16">
        <v>9210</v>
      </c>
      <c r="F56" s="16">
        <v>12771</v>
      </c>
      <c r="G56" s="16">
        <v>12766</v>
      </c>
      <c r="H56" s="16">
        <v>12593</v>
      </c>
      <c r="I56" s="16">
        <v>12520</v>
      </c>
      <c r="J56" s="16">
        <v>12359</v>
      </c>
      <c r="K56" s="16">
        <v>12396</v>
      </c>
      <c r="L56" s="16">
        <v>12444</v>
      </c>
      <c r="M56" s="16">
        <v>12486</v>
      </c>
      <c r="N56" s="16">
        <v>8274</v>
      </c>
      <c r="O56" s="16">
        <v>8350</v>
      </c>
      <c r="P56" s="16">
        <v>8397</v>
      </c>
      <c r="Q56" s="16">
        <v>8474</v>
      </c>
      <c r="R56" s="16">
        <v>4451</v>
      </c>
      <c r="S56" s="16">
        <v>830</v>
      </c>
      <c r="T56" s="16">
        <v>742</v>
      </c>
      <c r="U56" s="16">
        <v>2992</v>
      </c>
      <c r="V56" s="15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</row>
    <row r="57" spans="1:29" x14ac:dyDescent="0.25">
      <c r="A57" s="6" t="s">
        <v>58</v>
      </c>
      <c r="B57" s="15">
        <v>0</v>
      </c>
      <c r="C57" s="15">
        <v>0</v>
      </c>
      <c r="D57" s="15">
        <v>0</v>
      </c>
      <c r="E57" s="15">
        <v>0</v>
      </c>
      <c r="F57" s="16">
        <v>0</v>
      </c>
      <c r="G57" s="16">
        <v>0</v>
      </c>
      <c r="H57" s="16">
        <v>0</v>
      </c>
      <c r="I57" s="16">
        <v>0</v>
      </c>
      <c r="J57" s="15">
        <v>0</v>
      </c>
      <c r="K57" s="15">
        <v>0</v>
      </c>
      <c r="L57" s="15">
        <v>0</v>
      </c>
      <c r="M57" s="15">
        <v>0</v>
      </c>
      <c r="N57" s="16">
        <v>0</v>
      </c>
      <c r="O57" s="16">
        <v>0</v>
      </c>
      <c r="P57" s="16">
        <v>0</v>
      </c>
      <c r="Q57" s="16">
        <v>0</v>
      </c>
      <c r="R57" s="16">
        <v>182379</v>
      </c>
      <c r="S57" s="16">
        <v>185963</v>
      </c>
      <c r="T57" s="16">
        <v>145448</v>
      </c>
      <c r="U57" s="16">
        <v>145082</v>
      </c>
      <c r="V57" s="15">
        <v>149516</v>
      </c>
      <c r="W57" s="16">
        <v>151618</v>
      </c>
      <c r="X57" s="16">
        <v>160077</v>
      </c>
      <c r="Y57" s="16">
        <v>152618</v>
      </c>
      <c r="Z57" s="16">
        <v>129747</v>
      </c>
      <c r="AA57" s="16">
        <v>132029</v>
      </c>
      <c r="AB57" s="16">
        <v>131219</v>
      </c>
      <c r="AC57" s="16">
        <v>122186</v>
      </c>
    </row>
    <row r="58" spans="1:29" x14ac:dyDescent="0.25">
      <c r="A58" s="4" t="s">
        <v>59</v>
      </c>
      <c r="B58" s="14">
        <f t="shared" ref="B58:AC58" si="48">+SUM(B54:B57)</f>
        <v>89604</v>
      </c>
      <c r="C58" s="14">
        <f t="shared" si="48"/>
        <v>92396</v>
      </c>
      <c r="D58" s="14">
        <f t="shared" si="48"/>
        <v>92256</v>
      </c>
      <c r="E58" s="14">
        <f t="shared" si="48"/>
        <v>89057</v>
      </c>
      <c r="F58" s="14">
        <f t="shared" si="48"/>
        <v>109923</v>
      </c>
      <c r="G58" s="14">
        <f t="shared" si="48"/>
        <v>107690</v>
      </c>
      <c r="H58" s="14">
        <f t="shared" si="48"/>
        <v>104565</v>
      </c>
      <c r="I58" s="14">
        <f t="shared" si="48"/>
        <v>122447</v>
      </c>
      <c r="J58" s="14">
        <f t="shared" si="48"/>
        <v>119855</v>
      </c>
      <c r="K58" s="14">
        <f t="shared" si="48"/>
        <v>137891</v>
      </c>
      <c r="L58" s="14">
        <f t="shared" si="48"/>
        <v>134878</v>
      </c>
      <c r="M58" s="14">
        <f t="shared" si="48"/>
        <v>133619</v>
      </c>
      <c r="N58" s="14">
        <f t="shared" si="48"/>
        <v>184061</v>
      </c>
      <c r="O58" s="14">
        <f t="shared" si="48"/>
        <v>179976</v>
      </c>
      <c r="P58" s="14">
        <f t="shared" si="48"/>
        <v>282419</v>
      </c>
      <c r="Q58" s="14">
        <f t="shared" si="48"/>
        <v>393826</v>
      </c>
      <c r="R58" s="14">
        <f t="shared" si="48"/>
        <v>373858</v>
      </c>
      <c r="S58" s="14">
        <f t="shared" si="48"/>
        <v>388920</v>
      </c>
      <c r="T58" s="14">
        <f t="shared" si="48"/>
        <v>348621</v>
      </c>
      <c r="U58" s="14">
        <f t="shared" si="48"/>
        <v>351354</v>
      </c>
      <c r="V58" s="14">
        <f t="shared" si="48"/>
        <v>359264</v>
      </c>
      <c r="W58" s="14">
        <f t="shared" si="48"/>
        <v>365548</v>
      </c>
      <c r="X58" s="14">
        <f t="shared" si="48"/>
        <v>391729</v>
      </c>
      <c r="Y58" s="14">
        <f t="shared" si="48"/>
        <v>375324</v>
      </c>
      <c r="Z58" s="14">
        <f t="shared" si="48"/>
        <v>335143</v>
      </c>
      <c r="AA58" s="14">
        <f t="shared" si="48"/>
        <v>342723</v>
      </c>
      <c r="AB58" s="14">
        <f t="shared" si="48"/>
        <v>351761</v>
      </c>
      <c r="AC58" s="14">
        <f t="shared" si="48"/>
        <v>332592</v>
      </c>
    </row>
    <row r="59" spans="1:29" x14ac:dyDescent="0.25">
      <c r="A59" s="4" t="s">
        <v>60</v>
      </c>
      <c r="B59" s="14">
        <f t="shared" ref="B59:AC59" si="49">+B58+B52</f>
        <v>120858</v>
      </c>
      <c r="C59" s="14">
        <f t="shared" si="49"/>
        <v>129728</v>
      </c>
      <c r="D59" s="14">
        <f t="shared" si="49"/>
        <v>132858</v>
      </c>
      <c r="E59" s="14">
        <f t="shared" si="49"/>
        <v>129883</v>
      </c>
      <c r="F59" s="14">
        <f t="shared" si="49"/>
        <v>142766</v>
      </c>
      <c r="G59" s="14">
        <f t="shared" si="49"/>
        <v>149128</v>
      </c>
      <c r="H59" s="14">
        <f t="shared" si="49"/>
        <v>146704</v>
      </c>
      <c r="I59" s="14">
        <f t="shared" si="49"/>
        <v>167902</v>
      </c>
      <c r="J59" s="14">
        <f t="shared" si="49"/>
        <v>174384</v>
      </c>
      <c r="K59" s="14">
        <f t="shared" si="49"/>
        <v>190189</v>
      </c>
      <c r="L59" s="14">
        <f t="shared" si="49"/>
        <v>189522</v>
      </c>
      <c r="M59" s="14">
        <f t="shared" si="49"/>
        <v>194727</v>
      </c>
      <c r="N59" s="14">
        <f t="shared" si="49"/>
        <v>360692</v>
      </c>
      <c r="O59" s="14">
        <f t="shared" si="49"/>
        <v>355922</v>
      </c>
      <c r="P59" s="14">
        <f t="shared" si="49"/>
        <v>364420</v>
      </c>
      <c r="Q59" s="14">
        <f t="shared" si="49"/>
        <v>445567</v>
      </c>
      <c r="R59" s="14">
        <f t="shared" si="49"/>
        <v>417393</v>
      </c>
      <c r="S59" s="14">
        <f t="shared" si="49"/>
        <v>429931</v>
      </c>
      <c r="T59" s="14">
        <f t="shared" si="49"/>
        <v>387325</v>
      </c>
      <c r="U59" s="14">
        <f t="shared" si="49"/>
        <v>388294</v>
      </c>
      <c r="V59" s="14">
        <f t="shared" si="49"/>
        <v>397728</v>
      </c>
      <c r="W59" s="14">
        <f t="shared" si="49"/>
        <v>411036</v>
      </c>
      <c r="X59" s="14">
        <f t="shared" si="49"/>
        <v>439967</v>
      </c>
      <c r="Y59" s="14">
        <f t="shared" si="49"/>
        <v>417812</v>
      </c>
      <c r="Z59" s="14">
        <f t="shared" si="49"/>
        <v>379038</v>
      </c>
      <c r="AA59" s="14">
        <f t="shared" si="49"/>
        <v>403020</v>
      </c>
      <c r="AB59" s="14">
        <f t="shared" si="49"/>
        <v>413257</v>
      </c>
      <c r="AC59" s="14">
        <f t="shared" si="49"/>
        <v>381268</v>
      </c>
    </row>
    <row r="60" spans="1:29" x14ac:dyDescent="0.25">
      <c r="A60" s="4" t="s">
        <v>61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</row>
    <row r="61" spans="1:29" x14ac:dyDescent="0.25">
      <c r="A61" s="6" t="s">
        <v>62</v>
      </c>
      <c r="B61" s="15">
        <v>61450</v>
      </c>
      <c r="C61" s="15">
        <v>61450</v>
      </c>
      <c r="D61" s="15">
        <v>61450</v>
      </c>
      <c r="E61" s="15">
        <v>61450</v>
      </c>
      <c r="F61" s="16">
        <v>61450</v>
      </c>
      <c r="G61" s="16">
        <v>61450</v>
      </c>
      <c r="H61" s="16">
        <v>61450</v>
      </c>
      <c r="I61" s="16">
        <v>61450</v>
      </c>
      <c r="J61" s="16">
        <v>61450</v>
      </c>
      <c r="K61" s="16">
        <v>61450</v>
      </c>
      <c r="L61" s="16">
        <v>61450</v>
      </c>
      <c r="M61" s="16">
        <v>61450</v>
      </c>
      <c r="N61" s="16">
        <v>61450</v>
      </c>
      <c r="O61" s="16">
        <v>61450</v>
      </c>
      <c r="P61" s="16">
        <v>61450</v>
      </c>
      <c r="Q61" s="16">
        <v>61450</v>
      </c>
      <c r="R61" s="16">
        <v>61450</v>
      </c>
      <c r="S61" s="16">
        <v>61450</v>
      </c>
      <c r="T61" s="16">
        <v>70661</v>
      </c>
      <c r="U61" s="16">
        <v>70661</v>
      </c>
      <c r="V61" s="15">
        <v>70662</v>
      </c>
      <c r="W61" s="16">
        <v>70662</v>
      </c>
      <c r="X61" s="16">
        <v>70662</v>
      </c>
      <c r="Y61" s="16">
        <v>80534</v>
      </c>
      <c r="Z61" s="16">
        <v>80534</v>
      </c>
      <c r="AA61" s="16">
        <v>80534</v>
      </c>
      <c r="AB61" s="16">
        <v>80534</v>
      </c>
      <c r="AC61" s="16">
        <v>80534</v>
      </c>
    </row>
    <row r="62" spans="1:29" x14ac:dyDescent="0.25">
      <c r="A62" s="6" t="s">
        <v>66</v>
      </c>
      <c r="B62" s="15">
        <v>1665</v>
      </c>
      <c r="C62" s="15">
        <v>1737</v>
      </c>
      <c r="D62" s="15">
        <v>1737</v>
      </c>
      <c r="E62" s="15">
        <v>1737</v>
      </c>
      <c r="F62" s="16">
        <v>1737</v>
      </c>
      <c r="G62" s="16">
        <v>1737</v>
      </c>
      <c r="H62" s="16">
        <v>2414</v>
      </c>
      <c r="I62" s="16">
        <v>2414</v>
      </c>
      <c r="J62" s="16">
        <v>2955</v>
      </c>
      <c r="K62" s="16">
        <v>2955</v>
      </c>
      <c r="L62" s="16">
        <v>2955</v>
      </c>
      <c r="M62" s="16">
        <v>2955</v>
      </c>
      <c r="N62" s="16">
        <v>3035</v>
      </c>
      <c r="O62" s="16">
        <v>3035</v>
      </c>
      <c r="P62" s="16">
        <v>3035</v>
      </c>
      <c r="Q62" s="16">
        <v>3035</v>
      </c>
      <c r="R62" s="16">
        <v>3036</v>
      </c>
      <c r="S62" s="16">
        <v>3036</v>
      </c>
      <c r="T62" s="16">
        <v>3036</v>
      </c>
      <c r="U62" s="16">
        <v>3036</v>
      </c>
      <c r="V62" s="15">
        <v>3036</v>
      </c>
      <c r="W62" s="16">
        <v>3036</v>
      </c>
      <c r="X62" s="16">
        <v>3036</v>
      </c>
      <c r="Y62" s="16">
        <v>3036</v>
      </c>
      <c r="Z62" s="16">
        <v>3036</v>
      </c>
      <c r="AA62" s="16">
        <v>3036</v>
      </c>
      <c r="AB62" s="16">
        <v>3036</v>
      </c>
      <c r="AC62" s="16">
        <v>3036</v>
      </c>
    </row>
    <row r="63" spans="1:29" x14ac:dyDescent="0.25">
      <c r="A63" s="8" t="s">
        <v>67</v>
      </c>
      <c r="B63" s="16">
        <v>32545</v>
      </c>
      <c r="C63" s="16">
        <v>32928</v>
      </c>
      <c r="D63" s="16">
        <v>35847</v>
      </c>
      <c r="E63" s="16">
        <v>38621</v>
      </c>
      <c r="F63" s="15">
        <v>33212</v>
      </c>
      <c r="G63" s="15">
        <v>36585</v>
      </c>
      <c r="H63" s="15">
        <v>40748</v>
      </c>
      <c r="I63" s="15">
        <v>42196</v>
      </c>
      <c r="J63" s="15">
        <v>28032</v>
      </c>
      <c r="K63" s="15">
        <v>26419</v>
      </c>
      <c r="L63" s="15">
        <v>28531</v>
      </c>
      <c r="M63" s="15">
        <v>22965</v>
      </c>
      <c r="N63" s="15">
        <v>22531</v>
      </c>
      <c r="O63" s="15">
        <v>24214</v>
      </c>
      <c r="P63" s="15">
        <v>16461</v>
      </c>
      <c r="Q63" s="15">
        <v>14641</v>
      </c>
      <c r="R63" s="15">
        <v>-11413</v>
      </c>
      <c r="S63" s="15">
        <v>-30964</v>
      </c>
      <c r="T63" s="15">
        <v>-43979</v>
      </c>
      <c r="U63" s="15">
        <v>-61420</v>
      </c>
      <c r="V63" s="15">
        <v>-75202</v>
      </c>
      <c r="W63" s="15">
        <v>-91726</v>
      </c>
      <c r="X63" s="15">
        <v>-115761</v>
      </c>
      <c r="Y63" s="15">
        <v>-112403</v>
      </c>
      <c r="Z63" s="15">
        <v>-71768</v>
      </c>
      <c r="AA63" s="15">
        <v>-88365</v>
      </c>
      <c r="AB63" s="15">
        <v>-94281</v>
      </c>
      <c r="AC63" s="15">
        <v>-89419</v>
      </c>
    </row>
    <row r="64" spans="1:29" x14ac:dyDescent="0.25">
      <c r="A64" s="6" t="s">
        <v>68</v>
      </c>
      <c r="B64" s="15">
        <v>-3770</v>
      </c>
      <c r="C64" s="15">
        <v>-3217</v>
      </c>
      <c r="D64" s="15">
        <v>-3211</v>
      </c>
      <c r="E64" s="15">
        <v>-2698</v>
      </c>
      <c r="F64" s="16">
        <v>-2105</v>
      </c>
      <c r="G64" s="16">
        <v>-1897</v>
      </c>
      <c r="H64" s="16">
        <v>-1643</v>
      </c>
      <c r="I64" s="16">
        <v>-1375</v>
      </c>
      <c r="J64" s="16">
        <v>-1155</v>
      </c>
      <c r="K64" s="16">
        <v>-1066</v>
      </c>
      <c r="L64" s="16">
        <v>-953</v>
      </c>
      <c r="M64" s="16">
        <v>-852</v>
      </c>
      <c r="N64" s="16">
        <v>-630</v>
      </c>
      <c r="O64" s="16">
        <v>-448</v>
      </c>
      <c r="P64" s="16">
        <v>-334</v>
      </c>
      <c r="Q64" s="16">
        <v>-150</v>
      </c>
      <c r="R64" s="16">
        <v>0</v>
      </c>
      <c r="S64" s="16">
        <v>0</v>
      </c>
      <c r="T64" s="16">
        <v>0</v>
      </c>
      <c r="U64" s="16">
        <v>6241</v>
      </c>
      <c r="V64" s="15">
        <v>6048</v>
      </c>
      <c r="W64" s="16">
        <v>24236</v>
      </c>
      <c r="X64" s="16">
        <v>49919</v>
      </c>
      <c r="Y64" s="16">
        <v>54320</v>
      </c>
      <c r="Z64" s="16">
        <v>43964</v>
      </c>
      <c r="AA64" s="16">
        <v>43964</v>
      </c>
      <c r="AB64" s="16">
        <v>43964</v>
      </c>
      <c r="AC64" s="16">
        <v>37200</v>
      </c>
    </row>
    <row r="65" spans="1:29" x14ac:dyDescent="0.25">
      <c r="A65" s="4" t="s">
        <v>71</v>
      </c>
      <c r="B65" s="14">
        <f>+SUM(B61:B64)</f>
        <v>91890</v>
      </c>
      <c r="C65" s="14">
        <f t="shared" ref="C65:AC65" si="50">+SUM(C61:C64)</f>
        <v>92898</v>
      </c>
      <c r="D65" s="14">
        <f t="shared" si="50"/>
        <v>95823</v>
      </c>
      <c r="E65" s="14">
        <f t="shared" si="50"/>
        <v>99110</v>
      </c>
      <c r="F65" s="14">
        <f t="shared" si="50"/>
        <v>94294</v>
      </c>
      <c r="G65" s="14">
        <f t="shared" si="50"/>
        <v>97875</v>
      </c>
      <c r="H65" s="14">
        <f t="shared" si="50"/>
        <v>102969</v>
      </c>
      <c r="I65" s="14">
        <f t="shared" si="50"/>
        <v>104685</v>
      </c>
      <c r="J65" s="14">
        <f t="shared" si="50"/>
        <v>91282</v>
      </c>
      <c r="K65" s="14">
        <f t="shared" si="50"/>
        <v>89758</v>
      </c>
      <c r="L65" s="14">
        <f t="shared" si="50"/>
        <v>91983</v>
      </c>
      <c r="M65" s="14">
        <f t="shared" si="50"/>
        <v>86518</v>
      </c>
      <c r="N65" s="14">
        <f t="shared" si="50"/>
        <v>86386</v>
      </c>
      <c r="O65" s="14">
        <f t="shared" si="50"/>
        <v>88251</v>
      </c>
      <c r="P65" s="14">
        <f t="shared" si="50"/>
        <v>80612</v>
      </c>
      <c r="Q65" s="14">
        <f t="shared" si="50"/>
        <v>78976</v>
      </c>
      <c r="R65" s="14">
        <f>+SUM(R61:R64)</f>
        <v>53073</v>
      </c>
      <c r="S65" s="14">
        <f t="shared" si="50"/>
        <v>33522</v>
      </c>
      <c r="T65" s="14">
        <f t="shared" si="50"/>
        <v>29718</v>
      </c>
      <c r="U65" s="14">
        <f t="shared" si="50"/>
        <v>18518</v>
      </c>
      <c r="V65" s="14">
        <f t="shared" si="50"/>
        <v>4544</v>
      </c>
      <c r="W65" s="14">
        <f t="shared" si="50"/>
        <v>6208</v>
      </c>
      <c r="X65" s="14">
        <f t="shared" si="50"/>
        <v>7856</v>
      </c>
      <c r="Y65" s="14">
        <f t="shared" si="50"/>
        <v>25487</v>
      </c>
      <c r="Z65" s="14">
        <f t="shared" si="50"/>
        <v>55766</v>
      </c>
      <c r="AA65" s="14">
        <f t="shared" si="50"/>
        <v>39169</v>
      </c>
      <c r="AB65" s="14">
        <f t="shared" si="50"/>
        <v>33253</v>
      </c>
      <c r="AC65" s="14">
        <f t="shared" si="50"/>
        <v>31351</v>
      </c>
    </row>
    <row r="66" spans="1:29" x14ac:dyDescent="0.25">
      <c r="A66" s="4" t="s">
        <v>72</v>
      </c>
      <c r="B66" s="14">
        <f>+B65+B59</f>
        <v>212748</v>
      </c>
      <c r="C66" s="14">
        <f t="shared" ref="C66:K66" si="51">+C65+C59</f>
        <v>222626</v>
      </c>
      <c r="D66" s="14">
        <f t="shared" si="51"/>
        <v>228681</v>
      </c>
      <c r="E66" s="14">
        <f t="shared" si="51"/>
        <v>228993</v>
      </c>
      <c r="F66" s="14">
        <f t="shared" si="51"/>
        <v>237060</v>
      </c>
      <c r="G66" s="14">
        <f t="shared" si="51"/>
        <v>247003</v>
      </c>
      <c r="H66" s="14">
        <f t="shared" si="51"/>
        <v>249673</v>
      </c>
      <c r="I66" s="14">
        <f t="shared" si="51"/>
        <v>272587</v>
      </c>
      <c r="J66" s="14">
        <f t="shared" si="51"/>
        <v>265666</v>
      </c>
      <c r="K66" s="14">
        <f t="shared" si="51"/>
        <v>279947</v>
      </c>
      <c r="L66" s="14">
        <f t="shared" ref="L66" si="52">+L65+L59</f>
        <v>281505</v>
      </c>
      <c r="M66" s="14">
        <f t="shared" ref="M66" si="53">+M65+M59</f>
        <v>281245</v>
      </c>
      <c r="N66" s="14">
        <f t="shared" ref="N66" si="54">+N65+N59</f>
        <v>447078</v>
      </c>
      <c r="O66" s="14">
        <f t="shared" ref="O66" si="55">+O65+O59</f>
        <v>444173</v>
      </c>
      <c r="P66" s="14">
        <f t="shared" ref="P66" si="56">+P65+P59</f>
        <v>445032</v>
      </c>
      <c r="Q66" s="14">
        <f t="shared" ref="Q66" si="57">+Q65+Q59</f>
        <v>524543</v>
      </c>
      <c r="R66" s="14">
        <f t="shared" ref="R66" si="58">+R65+R59</f>
        <v>470466</v>
      </c>
      <c r="S66" s="14">
        <f t="shared" ref="S66:T66" si="59">+S65+S59</f>
        <v>463453</v>
      </c>
      <c r="T66" s="14">
        <f t="shared" si="59"/>
        <v>417043</v>
      </c>
      <c r="U66" s="14">
        <f t="shared" ref="U66" si="60">+U65+U59</f>
        <v>406812</v>
      </c>
      <c r="V66" s="14">
        <f t="shared" ref="V66" si="61">+V65+V59</f>
        <v>402272</v>
      </c>
      <c r="W66" s="14">
        <f t="shared" ref="W66" si="62">+W65+W59</f>
        <v>417244</v>
      </c>
      <c r="X66" s="14">
        <f t="shared" ref="X66" si="63">+X65+X59</f>
        <v>447823</v>
      </c>
      <c r="Y66" s="14">
        <f t="shared" ref="Y66" si="64">+Y65+Y59</f>
        <v>443299</v>
      </c>
      <c r="Z66" s="14">
        <f t="shared" ref="Z66" si="65">+Z65+Z59</f>
        <v>434804</v>
      </c>
      <c r="AA66" s="14">
        <f t="shared" ref="AA66" si="66">+AA65+AA59</f>
        <v>442189</v>
      </c>
      <c r="AB66" s="14">
        <f t="shared" ref="AB66:AC66" si="67">+AB65+AB59</f>
        <v>446510</v>
      </c>
      <c r="AC66" s="14">
        <f t="shared" si="67"/>
        <v>412619</v>
      </c>
    </row>
    <row r="68" spans="1:29" ht="15.75" x14ac:dyDescent="0.25">
      <c r="A68" s="2" t="s">
        <v>167</v>
      </c>
    </row>
    <row r="69" spans="1:29" x14ac:dyDescent="0.25">
      <c r="A69" s="3" t="s">
        <v>7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spans="1:29" s="31" customFormat="1" x14ac:dyDescent="0.25">
      <c r="A70" s="34" t="s">
        <v>170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 spans="1:29" s="31" customFormat="1" x14ac:dyDescent="0.25">
      <c r="A71" s="33" t="s">
        <v>171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 spans="1:29" s="31" customFormat="1" x14ac:dyDescent="0.25">
      <c r="A72" s="37" t="s">
        <v>172</v>
      </c>
      <c r="B72" s="39">
        <v>26459</v>
      </c>
      <c r="C72" s="39">
        <v>36686</v>
      </c>
      <c r="D72" s="39">
        <v>39579</v>
      </c>
      <c r="E72" s="39">
        <v>45116</v>
      </c>
      <c r="F72" s="39">
        <v>31086</v>
      </c>
      <c r="G72" s="39">
        <v>36098</v>
      </c>
      <c r="H72" s="39">
        <v>43208</v>
      </c>
      <c r="I72" s="39">
        <v>46941</v>
      </c>
      <c r="J72" s="39">
        <v>40738</v>
      </c>
      <c r="K72" s="39">
        <v>30415</v>
      </c>
      <c r="L72" s="39">
        <v>51239</v>
      </c>
      <c r="M72" s="39">
        <v>48473</v>
      </c>
      <c r="N72" s="39">
        <v>41717</v>
      </c>
      <c r="O72" s="39">
        <v>37024</v>
      </c>
      <c r="P72" s="39">
        <v>53715</v>
      </c>
      <c r="Q72" s="39">
        <v>52018</v>
      </c>
      <c r="R72" s="39">
        <v>39101</v>
      </c>
      <c r="S72" s="39">
        <v>5861</v>
      </c>
      <c r="T72" s="39">
        <v>19734</v>
      </c>
      <c r="U72" s="39">
        <v>25969</v>
      </c>
      <c r="V72" s="39">
        <v>19774</v>
      </c>
      <c r="W72" s="39">
        <v>18752</v>
      </c>
      <c r="X72" s="39">
        <v>23706</v>
      </c>
      <c r="Y72" s="39">
        <v>29677</v>
      </c>
      <c r="Z72" s="39">
        <v>24797</v>
      </c>
      <c r="AA72" s="39">
        <v>28699</v>
      </c>
      <c r="AB72" s="39">
        <v>45452</v>
      </c>
      <c r="AC72" s="39">
        <v>54505</v>
      </c>
    </row>
    <row r="73" spans="1:29" s="31" customFormat="1" x14ac:dyDescent="0.25">
      <c r="A73" s="37" t="s">
        <v>176</v>
      </c>
      <c r="B73" s="39">
        <v>0</v>
      </c>
      <c r="C73" s="39">
        <v>243</v>
      </c>
      <c r="D73" s="39">
        <v>1258</v>
      </c>
      <c r="E73" s="39">
        <v>-509</v>
      </c>
      <c r="F73" s="39">
        <v>0</v>
      </c>
      <c r="G73" s="39">
        <v>0</v>
      </c>
      <c r="H73" s="39">
        <v>792</v>
      </c>
      <c r="I73" s="39">
        <v>-792</v>
      </c>
      <c r="J73" s="39">
        <v>0</v>
      </c>
      <c r="K73" s="39">
        <v>0</v>
      </c>
      <c r="L73" s="39">
        <v>614</v>
      </c>
      <c r="M73" s="39">
        <v>1077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</row>
    <row r="74" spans="1:29" s="31" customFormat="1" x14ac:dyDescent="0.25">
      <c r="A74" s="33" t="s">
        <v>177</v>
      </c>
      <c r="B74" s="43"/>
      <c r="C74" s="43">
        <v>0</v>
      </c>
      <c r="D74" s="43">
        <v>0</v>
      </c>
      <c r="E74" s="43">
        <v>0</v>
      </c>
      <c r="F74" s="43"/>
      <c r="G74" s="43">
        <v>0</v>
      </c>
      <c r="H74" s="43">
        <v>0</v>
      </c>
      <c r="I74" s="43">
        <v>0</v>
      </c>
      <c r="J74" s="43"/>
      <c r="K74" s="43">
        <v>0</v>
      </c>
      <c r="L74" s="43">
        <v>0</v>
      </c>
      <c r="M74" s="43">
        <v>0</v>
      </c>
      <c r="N74" s="43"/>
      <c r="O74" s="43">
        <v>0</v>
      </c>
      <c r="P74" s="43">
        <v>0</v>
      </c>
      <c r="Q74" s="43">
        <v>0</v>
      </c>
      <c r="R74" s="43"/>
      <c r="S74" s="43">
        <v>0</v>
      </c>
      <c r="T74" s="43">
        <v>0</v>
      </c>
      <c r="U74" s="43">
        <v>0</v>
      </c>
      <c r="V74" s="43"/>
      <c r="W74" s="43">
        <v>0</v>
      </c>
      <c r="X74" s="43">
        <v>0</v>
      </c>
      <c r="Y74" s="43">
        <v>0</v>
      </c>
      <c r="Z74" s="43"/>
      <c r="AA74" s="43">
        <v>0</v>
      </c>
      <c r="AB74" s="43">
        <v>0</v>
      </c>
      <c r="AC74" s="43">
        <v>0</v>
      </c>
    </row>
    <row r="75" spans="1:29" s="31" customFormat="1" x14ac:dyDescent="0.25">
      <c r="A75" s="37" t="s">
        <v>178</v>
      </c>
      <c r="B75" s="39">
        <v>-16197</v>
      </c>
      <c r="C75" s="39">
        <v>-9135</v>
      </c>
      <c r="D75" s="39">
        <v>-16617</v>
      </c>
      <c r="E75" s="39">
        <v>-16827</v>
      </c>
      <c r="F75" s="39">
        <v>-19761</v>
      </c>
      <c r="G75" s="39">
        <v>-15013</v>
      </c>
      <c r="H75" s="39">
        <v>-16226</v>
      </c>
      <c r="I75" s="39">
        <v>-17865</v>
      </c>
      <c r="J75" s="39">
        <v>-21031</v>
      </c>
      <c r="K75" s="39">
        <v>-14318</v>
      </c>
      <c r="L75" s="39">
        <v>-23248</v>
      </c>
      <c r="M75" s="39">
        <v>-24293</v>
      </c>
      <c r="N75" s="39">
        <v>-25518</v>
      </c>
      <c r="O75" s="39">
        <v>-16795</v>
      </c>
      <c r="P75" s="39">
        <v>-21543</v>
      </c>
      <c r="Q75" s="39">
        <v>-25266</v>
      </c>
      <c r="R75" s="39">
        <v>-24233</v>
      </c>
      <c r="S75" s="39">
        <v>-10063</v>
      </c>
      <c r="T75" s="39">
        <v>-15305</v>
      </c>
      <c r="U75" s="39">
        <v>-8818</v>
      </c>
      <c r="V75" s="39">
        <v>-13649</v>
      </c>
      <c r="W75" s="39">
        <v>-8780</v>
      </c>
      <c r="X75" s="39">
        <v>-8612</v>
      </c>
      <c r="Y75" s="39">
        <v>-16852</v>
      </c>
      <c r="Z75" s="39">
        <v>-17285</v>
      </c>
      <c r="AA75" s="39">
        <v>-8324</v>
      </c>
      <c r="AB75" s="39">
        <v>-21946</v>
      </c>
      <c r="AC75" s="39">
        <v>-20349</v>
      </c>
    </row>
    <row r="76" spans="1:29" s="31" customFormat="1" x14ac:dyDescent="0.25">
      <c r="A76" s="37" t="s">
        <v>181</v>
      </c>
      <c r="B76" s="39">
        <v>-7184</v>
      </c>
      <c r="C76" s="39">
        <v>-8951</v>
      </c>
      <c r="D76" s="39">
        <v>-10126</v>
      </c>
      <c r="E76" s="39">
        <v>-11100</v>
      </c>
      <c r="F76" s="39">
        <v>-8390</v>
      </c>
      <c r="G76" s="39">
        <v>-8824</v>
      </c>
      <c r="H76" s="39">
        <v>-9873</v>
      </c>
      <c r="I76" s="39">
        <v>-12435</v>
      </c>
      <c r="J76" s="39">
        <v>-8851</v>
      </c>
      <c r="K76" s="39">
        <v>-10659</v>
      </c>
      <c r="L76" s="39">
        <v>-11566</v>
      </c>
      <c r="M76" s="39">
        <v>-14207</v>
      </c>
      <c r="N76" s="39">
        <v>-10051</v>
      </c>
      <c r="O76" s="39">
        <v>-14193</v>
      </c>
      <c r="P76" s="39">
        <v>-11916</v>
      </c>
      <c r="Q76" s="39">
        <v>-11627</v>
      </c>
      <c r="R76" s="39">
        <v>-10729</v>
      </c>
      <c r="S76" s="39">
        <v>-6314</v>
      </c>
      <c r="T76" s="39">
        <v>-11079</v>
      </c>
      <c r="U76" s="39">
        <v>-7327</v>
      </c>
      <c r="V76" s="39">
        <v>-6014</v>
      </c>
      <c r="W76" s="39">
        <v>-4962</v>
      </c>
      <c r="X76" s="39">
        <v>-5929</v>
      </c>
      <c r="Y76" s="39">
        <v>-8095</v>
      </c>
      <c r="Z76" s="39">
        <v>-4379</v>
      </c>
      <c r="AA76" s="39">
        <v>-6997</v>
      </c>
      <c r="AB76" s="39">
        <v>-8887</v>
      </c>
      <c r="AC76" s="39">
        <v>-13976</v>
      </c>
    </row>
    <row r="77" spans="1:29" s="31" customFormat="1" x14ac:dyDescent="0.25">
      <c r="A77" s="37" t="s">
        <v>185</v>
      </c>
      <c r="B77" s="39">
        <v>-2138</v>
      </c>
      <c r="C77" s="39">
        <v>-6647</v>
      </c>
      <c r="D77" s="39">
        <v>-8199</v>
      </c>
      <c r="E77" s="39">
        <v>-5182</v>
      </c>
      <c r="F77" s="39">
        <v>-4137</v>
      </c>
      <c r="G77" s="39">
        <v>-6187</v>
      </c>
      <c r="H77" s="39">
        <v>-8714</v>
      </c>
      <c r="I77" s="39">
        <v>-4180</v>
      </c>
      <c r="J77" s="39">
        <v>-5235</v>
      </c>
      <c r="K77" s="39">
        <v>-8190</v>
      </c>
      <c r="L77" s="39">
        <v>-5433</v>
      </c>
      <c r="M77" s="39">
        <v>-6395</v>
      </c>
      <c r="N77" s="39">
        <v>-724</v>
      </c>
      <c r="O77" s="39">
        <v>-9821</v>
      </c>
      <c r="P77" s="39">
        <v>-13217</v>
      </c>
      <c r="Q77" s="39">
        <v>-26742</v>
      </c>
      <c r="R77" s="39">
        <v>-13627</v>
      </c>
      <c r="S77" s="39">
        <v>10753</v>
      </c>
      <c r="T77" s="39">
        <v>-91</v>
      </c>
      <c r="U77" s="39">
        <v>-190</v>
      </c>
      <c r="V77" s="39">
        <v>-2446</v>
      </c>
      <c r="W77" s="39">
        <v>253</v>
      </c>
      <c r="X77" s="39">
        <v>-462</v>
      </c>
      <c r="Y77" s="39">
        <v>2846</v>
      </c>
      <c r="Z77" s="39">
        <v>0</v>
      </c>
      <c r="AA77" s="39">
        <v>0</v>
      </c>
      <c r="AB77" s="39">
        <v>-491</v>
      </c>
      <c r="AC77" s="39">
        <v>-3100</v>
      </c>
    </row>
    <row r="78" spans="1:29" s="31" customFormat="1" x14ac:dyDescent="0.25">
      <c r="A78" s="38" t="s">
        <v>190</v>
      </c>
      <c r="B78" s="40">
        <v>-1771</v>
      </c>
      <c r="C78" s="40">
        <v>1771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</row>
    <row r="79" spans="1:29" s="31" customFormat="1" x14ac:dyDescent="0.25">
      <c r="A79" s="37" t="s">
        <v>195</v>
      </c>
      <c r="B79" s="39">
        <v>0</v>
      </c>
      <c r="C79" s="39">
        <v>0</v>
      </c>
      <c r="D79" s="39">
        <v>0</v>
      </c>
      <c r="E79" s="39">
        <v>-890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-825</v>
      </c>
      <c r="W79" s="39">
        <v>825</v>
      </c>
      <c r="X79" s="39">
        <v>0</v>
      </c>
      <c r="Y79" s="39">
        <v>-4979</v>
      </c>
      <c r="Z79" s="39">
        <v>-1776</v>
      </c>
      <c r="AA79" s="39">
        <v>-1518</v>
      </c>
      <c r="AB79" s="39">
        <v>-3249</v>
      </c>
      <c r="AC79" s="39">
        <v>-846</v>
      </c>
    </row>
    <row r="80" spans="1:29" s="36" customFormat="1" x14ac:dyDescent="0.25">
      <c r="A80" s="35" t="s">
        <v>198</v>
      </c>
      <c r="B80" s="41">
        <f>+SUM(B72:B79)</f>
        <v>-831</v>
      </c>
      <c r="C80" s="41">
        <f t="shared" ref="C80:AC80" si="68">+SUM(C72:C79)</f>
        <v>13967</v>
      </c>
      <c r="D80" s="41">
        <f t="shared" si="68"/>
        <v>5895</v>
      </c>
      <c r="E80" s="41">
        <f t="shared" si="68"/>
        <v>10608</v>
      </c>
      <c r="F80" s="41">
        <f t="shared" si="68"/>
        <v>-1202</v>
      </c>
      <c r="G80" s="41">
        <f t="shared" si="68"/>
        <v>6074</v>
      </c>
      <c r="H80" s="41">
        <f t="shared" si="68"/>
        <v>9187</v>
      </c>
      <c r="I80" s="41">
        <f t="shared" si="68"/>
        <v>11669</v>
      </c>
      <c r="J80" s="41">
        <f t="shared" si="68"/>
        <v>5621</v>
      </c>
      <c r="K80" s="41">
        <f t="shared" si="68"/>
        <v>-2752</v>
      </c>
      <c r="L80" s="41">
        <f t="shared" si="68"/>
        <v>11606</v>
      </c>
      <c r="M80" s="41">
        <f t="shared" si="68"/>
        <v>4655</v>
      </c>
      <c r="N80" s="41">
        <f t="shared" si="68"/>
        <v>5424</v>
      </c>
      <c r="O80" s="41">
        <f t="shared" si="68"/>
        <v>-3785</v>
      </c>
      <c r="P80" s="41">
        <f t="shared" si="68"/>
        <v>7039</v>
      </c>
      <c r="Q80" s="41">
        <f t="shared" si="68"/>
        <v>-11617</v>
      </c>
      <c r="R80" s="41">
        <f t="shared" si="68"/>
        <v>-9488</v>
      </c>
      <c r="S80" s="41">
        <f t="shared" si="68"/>
        <v>237</v>
      </c>
      <c r="T80" s="41">
        <f t="shared" si="68"/>
        <v>-6741</v>
      </c>
      <c r="U80" s="41">
        <f t="shared" si="68"/>
        <v>9634</v>
      </c>
      <c r="V80" s="41">
        <f t="shared" si="68"/>
        <v>-3160</v>
      </c>
      <c r="W80" s="41">
        <f t="shared" si="68"/>
        <v>6088</v>
      </c>
      <c r="X80" s="41">
        <f t="shared" si="68"/>
        <v>8703</v>
      </c>
      <c r="Y80" s="41">
        <f t="shared" si="68"/>
        <v>2597</v>
      </c>
      <c r="Z80" s="41">
        <f t="shared" si="68"/>
        <v>1357</v>
      </c>
      <c r="AA80" s="41">
        <f t="shared" si="68"/>
        <v>11860</v>
      </c>
      <c r="AB80" s="41">
        <f t="shared" si="68"/>
        <v>10879</v>
      </c>
      <c r="AC80" s="41">
        <f t="shared" si="68"/>
        <v>16234</v>
      </c>
    </row>
    <row r="81" spans="1:29" x14ac:dyDescent="0.25">
      <c r="A81" s="4"/>
      <c r="B81" s="28"/>
      <c r="C81" s="28">
        <v>0</v>
      </c>
      <c r="D81" s="28">
        <v>0</v>
      </c>
      <c r="E81" s="28">
        <v>0</v>
      </c>
      <c r="F81" s="28"/>
      <c r="G81" s="28">
        <v>0</v>
      </c>
      <c r="H81" s="28">
        <v>0</v>
      </c>
      <c r="I81" s="28">
        <v>0</v>
      </c>
      <c r="J81" s="28"/>
      <c r="K81" s="28">
        <v>0</v>
      </c>
      <c r="L81" s="28">
        <v>0</v>
      </c>
      <c r="M81" s="28">
        <v>0</v>
      </c>
      <c r="N81" s="28"/>
      <c r="O81" s="28">
        <v>0</v>
      </c>
      <c r="P81" s="28">
        <v>0</v>
      </c>
      <c r="Q81" s="28">
        <v>0</v>
      </c>
      <c r="R81" s="28"/>
      <c r="S81" s="28">
        <v>0</v>
      </c>
      <c r="T81" s="28">
        <v>0</v>
      </c>
      <c r="U81" s="28">
        <v>0</v>
      </c>
      <c r="V81" s="28"/>
      <c r="W81" s="28">
        <v>0</v>
      </c>
      <c r="X81" s="28">
        <v>0</v>
      </c>
      <c r="Y81" s="28">
        <v>0</v>
      </c>
      <c r="Z81" s="28"/>
      <c r="AA81" s="28">
        <v>0</v>
      </c>
      <c r="AB81" s="28">
        <v>0</v>
      </c>
      <c r="AC81" s="28">
        <v>0</v>
      </c>
    </row>
    <row r="82" spans="1:29" s="31" customFormat="1" x14ac:dyDescent="0.25">
      <c r="A82" s="34" t="s">
        <v>200</v>
      </c>
      <c r="B82" s="43"/>
      <c r="C82" s="43">
        <v>0</v>
      </c>
      <c r="D82" s="43">
        <v>0</v>
      </c>
      <c r="E82" s="43">
        <v>0</v>
      </c>
      <c r="F82" s="43"/>
      <c r="G82" s="43">
        <v>0</v>
      </c>
      <c r="H82" s="43">
        <v>0</v>
      </c>
      <c r="I82" s="43">
        <v>0</v>
      </c>
      <c r="J82" s="43"/>
      <c r="K82" s="43">
        <v>0</v>
      </c>
      <c r="L82" s="43">
        <v>0</v>
      </c>
      <c r="M82" s="43">
        <v>0</v>
      </c>
      <c r="N82" s="43"/>
      <c r="O82" s="43">
        <v>0</v>
      </c>
      <c r="P82" s="43">
        <v>0</v>
      </c>
      <c r="Q82" s="43">
        <v>0</v>
      </c>
      <c r="R82" s="43"/>
      <c r="S82" s="43">
        <v>0</v>
      </c>
      <c r="T82" s="43">
        <v>0</v>
      </c>
      <c r="U82" s="43">
        <v>0</v>
      </c>
      <c r="V82" s="43"/>
      <c r="W82" s="43">
        <v>0</v>
      </c>
      <c r="X82" s="43">
        <v>0</v>
      </c>
      <c r="Y82" s="43">
        <v>0</v>
      </c>
      <c r="Z82" s="43"/>
      <c r="AA82" s="43">
        <v>0</v>
      </c>
      <c r="AB82" s="43">
        <v>0</v>
      </c>
      <c r="AC82" s="43">
        <v>0</v>
      </c>
    </row>
    <row r="83" spans="1:29" s="31" customFormat="1" x14ac:dyDescent="0.25">
      <c r="A83" s="45" t="s">
        <v>201</v>
      </c>
      <c r="B83" s="43">
        <f>+SUM(B84:B86)</f>
        <v>0</v>
      </c>
      <c r="C83" s="43">
        <v>0</v>
      </c>
      <c r="D83" s="43">
        <v>617</v>
      </c>
      <c r="E83" s="43">
        <v>-617</v>
      </c>
      <c r="F83" s="43">
        <f t="shared" ref="F83:Z83" si="69">+SUM(F84:F86)</f>
        <v>0</v>
      </c>
      <c r="G83" s="43">
        <v>0</v>
      </c>
      <c r="H83" s="43">
        <v>0</v>
      </c>
      <c r="I83" s="43">
        <v>0</v>
      </c>
      <c r="J83" s="43">
        <f t="shared" si="69"/>
        <v>0</v>
      </c>
      <c r="K83" s="43">
        <v>0</v>
      </c>
      <c r="L83" s="43">
        <v>0</v>
      </c>
      <c r="M83" s="43">
        <v>0</v>
      </c>
      <c r="N83" s="43">
        <f t="shared" si="69"/>
        <v>9442</v>
      </c>
      <c r="O83" s="43">
        <v>-9442</v>
      </c>
      <c r="P83" s="43">
        <v>9087</v>
      </c>
      <c r="Q83" s="43">
        <v>-2529</v>
      </c>
      <c r="R83" s="43">
        <f t="shared" si="69"/>
        <v>0</v>
      </c>
      <c r="S83" s="43">
        <v>0</v>
      </c>
      <c r="T83" s="43">
        <v>0</v>
      </c>
      <c r="U83" s="43">
        <v>0</v>
      </c>
      <c r="V83" s="43">
        <f t="shared" si="69"/>
        <v>0</v>
      </c>
      <c r="W83" s="43">
        <v>0</v>
      </c>
      <c r="X83" s="43">
        <v>0</v>
      </c>
      <c r="Y83" s="43">
        <v>0</v>
      </c>
      <c r="Z83" s="43">
        <f t="shared" si="69"/>
        <v>0</v>
      </c>
      <c r="AA83" s="43">
        <v>0</v>
      </c>
      <c r="AB83" s="43">
        <v>0</v>
      </c>
      <c r="AC83" s="43">
        <v>0</v>
      </c>
    </row>
    <row r="84" spans="1:29" s="31" customFormat="1" hidden="1" x14ac:dyDescent="0.25">
      <c r="A84" s="38" t="s">
        <v>204</v>
      </c>
      <c r="B84" s="40">
        <v>0</v>
      </c>
      <c r="C84" s="40">
        <v>0</v>
      </c>
      <c r="D84" s="40">
        <v>617</v>
      </c>
      <c r="E84" s="40">
        <v>-617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5616</v>
      </c>
      <c r="Q84" s="40">
        <v>-2529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</row>
    <row r="85" spans="1:29" s="31" customFormat="1" hidden="1" x14ac:dyDescent="0.25">
      <c r="A85" s="37" t="s">
        <v>205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5971</v>
      </c>
      <c r="O85" s="39">
        <v>-5971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</row>
    <row r="86" spans="1:29" s="31" customFormat="1" hidden="1" x14ac:dyDescent="0.25">
      <c r="A86" s="37" t="s">
        <v>213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3471</v>
      </c>
      <c r="O86" s="39">
        <v>-3471</v>
      </c>
      <c r="P86" s="39">
        <v>3471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</row>
    <row r="87" spans="1:29" s="31" customFormat="1" x14ac:dyDescent="0.25">
      <c r="A87" s="45" t="s">
        <v>214</v>
      </c>
      <c r="B87" s="43">
        <f>+SUM(B88:B92)</f>
        <v>-10017</v>
      </c>
      <c r="C87" s="43">
        <v>-13847</v>
      </c>
      <c r="D87" s="43">
        <v>-8473</v>
      </c>
      <c r="E87" s="43">
        <v>-8653</v>
      </c>
      <c r="F87" s="43">
        <f t="shared" ref="F87:Z87" si="70">+SUM(F88:F92)</f>
        <v>-6431</v>
      </c>
      <c r="G87" s="43">
        <v>-7077</v>
      </c>
      <c r="H87" s="43">
        <v>-7050</v>
      </c>
      <c r="I87" s="43">
        <v>-16138</v>
      </c>
      <c r="J87" s="43">
        <f t="shared" si="70"/>
        <v>-10560</v>
      </c>
      <c r="K87" s="43">
        <v>-10096</v>
      </c>
      <c r="L87" s="43">
        <v>-10048</v>
      </c>
      <c r="M87" s="43">
        <v>-6663</v>
      </c>
      <c r="N87" s="43">
        <f t="shared" si="70"/>
        <v>-3644</v>
      </c>
      <c r="O87" s="43">
        <v>-2140</v>
      </c>
      <c r="P87" s="43">
        <v>-8871</v>
      </c>
      <c r="Q87" s="43">
        <v>-34189</v>
      </c>
      <c r="R87" s="43">
        <f t="shared" si="70"/>
        <v>-6382</v>
      </c>
      <c r="S87" s="43">
        <v>713</v>
      </c>
      <c r="T87" s="43">
        <v>-597</v>
      </c>
      <c r="U87" s="43">
        <v>-1131</v>
      </c>
      <c r="V87" s="43">
        <f t="shared" si="70"/>
        <v>-807</v>
      </c>
      <c r="W87" s="43">
        <v>-1459</v>
      </c>
      <c r="X87" s="43">
        <v>-1782</v>
      </c>
      <c r="Y87" s="43">
        <v>-2983</v>
      </c>
      <c r="Z87" s="43">
        <f t="shared" si="70"/>
        <v>-1231</v>
      </c>
      <c r="AA87" s="43">
        <v>-6341</v>
      </c>
      <c r="AB87" s="43">
        <v>984</v>
      </c>
      <c r="AC87" s="43">
        <v>-4452</v>
      </c>
    </row>
    <row r="88" spans="1:29" s="31" customFormat="1" hidden="1" x14ac:dyDescent="0.25">
      <c r="A88" s="32" t="s">
        <v>215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-1211</v>
      </c>
      <c r="K88" s="39">
        <v>1211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</row>
    <row r="89" spans="1:29" s="31" customFormat="1" hidden="1" x14ac:dyDescent="0.25">
      <c r="A89" s="32" t="s">
        <v>217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0</v>
      </c>
      <c r="K89" s="39">
        <v>0</v>
      </c>
      <c r="L89" s="39">
        <v>-2586</v>
      </c>
      <c r="M89" s="39">
        <v>-1113</v>
      </c>
      <c r="N89" s="39">
        <v>0</v>
      </c>
      <c r="O89" s="39">
        <v>0</v>
      </c>
      <c r="P89" s="39">
        <v>-2529</v>
      </c>
      <c r="Q89" s="39">
        <v>2529</v>
      </c>
      <c r="R89" s="39">
        <v>-2052</v>
      </c>
      <c r="S89" s="39">
        <v>1712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</row>
    <row r="90" spans="1:29" s="31" customFormat="1" hidden="1" x14ac:dyDescent="0.25">
      <c r="A90" s="30" t="s">
        <v>221</v>
      </c>
      <c r="B90" s="40">
        <v>-7901</v>
      </c>
      <c r="C90" s="40">
        <v>-9992</v>
      </c>
      <c r="D90" s="40">
        <v>-8716</v>
      </c>
      <c r="E90" s="40">
        <v>-14381</v>
      </c>
      <c r="F90" s="40">
        <v>-6431</v>
      </c>
      <c r="G90" s="40">
        <v>-5925</v>
      </c>
      <c r="H90" s="40">
        <v>-8202</v>
      </c>
      <c r="I90" s="40">
        <v>-13466</v>
      </c>
      <c r="J90" s="40">
        <v>-6212</v>
      </c>
      <c r="K90" s="40">
        <v>-12090</v>
      </c>
      <c r="L90" s="40">
        <v>-8089</v>
      </c>
      <c r="M90" s="40">
        <v>-6070</v>
      </c>
      <c r="N90" s="40">
        <v>-3644</v>
      </c>
      <c r="O90" s="40">
        <v>-1286</v>
      </c>
      <c r="P90" s="40">
        <v>-4694</v>
      </c>
      <c r="Q90" s="40">
        <v>-2492</v>
      </c>
      <c r="R90" s="40">
        <v>-4305</v>
      </c>
      <c r="S90" s="40">
        <v>-924</v>
      </c>
      <c r="T90" s="40">
        <v>-199</v>
      </c>
      <c r="U90" s="40">
        <v>-873</v>
      </c>
      <c r="V90" s="40">
        <v>-461</v>
      </c>
      <c r="W90" s="40">
        <v>-1712</v>
      </c>
      <c r="X90" s="40">
        <v>-1750</v>
      </c>
      <c r="Y90" s="40">
        <v>-2415</v>
      </c>
      <c r="Z90" s="40">
        <v>-1231</v>
      </c>
      <c r="AA90" s="40">
        <v>-2399</v>
      </c>
      <c r="AB90" s="40">
        <v>1006</v>
      </c>
      <c r="AC90" s="40">
        <v>-3451</v>
      </c>
    </row>
    <row r="91" spans="1:29" s="31" customFormat="1" hidden="1" x14ac:dyDescent="0.25">
      <c r="A91" s="32" t="s">
        <v>224</v>
      </c>
      <c r="B91" s="39">
        <v>-2116</v>
      </c>
      <c r="C91" s="39">
        <v>-3855</v>
      </c>
      <c r="D91" s="39">
        <v>243</v>
      </c>
      <c r="E91" s="39">
        <v>5728</v>
      </c>
      <c r="F91" s="39">
        <v>0</v>
      </c>
      <c r="G91" s="39">
        <v>0</v>
      </c>
      <c r="H91" s="39">
        <v>0</v>
      </c>
      <c r="I91" s="39">
        <v>-2672</v>
      </c>
      <c r="J91" s="39">
        <v>-3137</v>
      </c>
      <c r="K91" s="39">
        <v>3137</v>
      </c>
      <c r="L91" s="39">
        <v>-1727</v>
      </c>
      <c r="M91" s="39">
        <v>520</v>
      </c>
      <c r="N91" s="39">
        <v>0</v>
      </c>
      <c r="O91" s="39">
        <v>-854</v>
      </c>
      <c r="P91" s="39">
        <v>-1648</v>
      </c>
      <c r="Q91" s="39">
        <v>-34226</v>
      </c>
      <c r="R91" s="39">
        <v>-25</v>
      </c>
      <c r="S91" s="39">
        <v>-75</v>
      </c>
      <c r="T91" s="39">
        <v>-398</v>
      </c>
      <c r="U91" s="39">
        <v>-258</v>
      </c>
      <c r="V91" s="39">
        <v>-346</v>
      </c>
      <c r="W91" s="39">
        <v>253</v>
      </c>
      <c r="X91" s="39">
        <v>-32</v>
      </c>
      <c r="Y91" s="39">
        <v>-568</v>
      </c>
      <c r="Z91" s="39">
        <v>0</v>
      </c>
      <c r="AA91" s="39">
        <v>-3942</v>
      </c>
      <c r="AB91" s="39">
        <v>-22</v>
      </c>
      <c r="AC91" s="39">
        <v>-1001</v>
      </c>
    </row>
    <row r="92" spans="1:29" s="31" customFormat="1" hidden="1" x14ac:dyDescent="0.25">
      <c r="A92" s="30" t="s">
        <v>228</v>
      </c>
      <c r="B92" s="40">
        <v>0</v>
      </c>
      <c r="C92" s="40">
        <v>0</v>
      </c>
      <c r="D92" s="40">
        <v>0</v>
      </c>
      <c r="E92" s="40">
        <v>0</v>
      </c>
      <c r="F92" s="40">
        <v>0</v>
      </c>
      <c r="G92" s="40">
        <v>-1152</v>
      </c>
      <c r="H92" s="40">
        <v>1152</v>
      </c>
      <c r="I92" s="40">
        <v>0</v>
      </c>
      <c r="J92" s="40">
        <v>0</v>
      </c>
      <c r="K92" s="40">
        <v>-2354</v>
      </c>
      <c r="L92" s="40">
        <v>2354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0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</row>
    <row r="93" spans="1:29" s="36" customFormat="1" x14ac:dyDescent="0.25">
      <c r="A93" s="35" t="s">
        <v>229</v>
      </c>
      <c r="B93" s="42">
        <f>+B83+B87</f>
        <v>-10017</v>
      </c>
      <c r="C93" s="42">
        <f t="shared" ref="C93:AC93" si="71">+C83+C87</f>
        <v>-13847</v>
      </c>
      <c r="D93" s="42">
        <f t="shared" si="71"/>
        <v>-7856</v>
      </c>
      <c r="E93" s="42">
        <f t="shared" si="71"/>
        <v>-9270</v>
      </c>
      <c r="F93" s="42">
        <f t="shared" si="71"/>
        <v>-6431</v>
      </c>
      <c r="G93" s="42">
        <f t="shared" si="71"/>
        <v>-7077</v>
      </c>
      <c r="H93" s="42">
        <f t="shared" si="71"/>
        <v>-7050</v>
      </c>
      <c r="I93" s="42">
        <f t="shared" si="71"/>
        <v>-16138</v>
      </c>
      <c r="J93" s="42">
        <f t="shared" si="71"/>
        <v>-10560</v>
      </c>
      <c r="K93" s="42">
        <f t="shared" si="71"/>
        <v>-10096</v>
      </c>
      <c r="L93" s="42">
        <f t="shared" si="71"/>
        <v>-10048</v>
      </c>
      <c r="M93" s="42">
        <f t="shared" si="71"/>
        <v>-6663</v>
      </c>
      <c r="N93" s="42">
        <f t="shared" si="71"/>
        <v>5798</v>
      </c>
      <c r="O93" s="42">
        <f t="shared" si="71"/>
        <v>-11582</v>
      </c>
      <c r="P93" s="42">
        <f t="shared" si="71"/>
        <v>216</v>
      </c>
      <c r="Q93" s="42">
        <f t="shared" si="71"/>
        <v>-36718</v>
      </c>
      <c r="R93" s="42">
        <f t="shared" si="71"/>
        <v>-6382</v>
      </c>
      <c r="S93" s="42">
        <f t="shared" si="71"/>
        <v>713</v>
      </c>
      <c r="T93" s="42">
        <f t="shared" si="71"/>
        <v>-597</v>
      </c>
      <c r="U93" s="42">
        <f t="shared" si="71"/>
        <v>-1131</v>
      </c>
      <c r="V93" s="42">
        <f t="shared" si="71"/>
        <v>-807</v>
      </c>
      <c r="W93" s="42">
        <f t="shared" si="71"/>
        <v>-1459</v>
      </c>
      <c r="X93" s="42">
        <f t="shared" si="71"/>
        <v>-1782</v>
      </c>
      <c r="Y93" s="42">
        <f t="shared" si="71"/>
        <v>-2983</v>
      </c>
      <c r="Z93" s="42">
        <f t="shared" si="71"/>
        <v>-1231</v>
      </c>
      <c r="AA93" s="42">
        <f t="shared" si="71"/>
        <v>-6341</v>
      </c>
      <c r="AB93" s="42">
        <f t="shared" si="71"/>
        <v>984</v>
      </c>
      <c r="AC93" s="42">
        <f t="shared" si="71"/>
        <v>-4452</v>
      </c>
    </row>
    <row r="94" spans="1:29" x14ac:dyDescent="0.25">
      <c r="A94" s="4"/>
      <c r="B94" s="28"/>
      <c r="C94" s="28">
        <v>0</v>
      </c>
      <c r="D94" s="28">
        <v>0</v>
      </c>
      <c r="E94" s="28">
        <v>0</v>
      </c>
      <c r="F94" s="28"/>
      <c r="G94" s="28">
        <v>0</v>
      </c>
      <c r="H94" s="28">
        <v>0</v>
      </c>
      <c r="I94" s="28">
        <v>0</v>
      </c>
      <c r="J94" s="28"/>
      <c r="K94" s="28">
        <v>0</v>
      </c>
      <c r="L94" s="28">
        <v>0</v>
      </c>
      <c r="M94" s="28">
        <v>0</v>
      </c>
      <c r="N94" s="28"/>
      <c r="O94" s="28">
        <v>0</v>
      </c>
      <c r="P94" s="28">
        <v>0</v>
      </c>
      <c r="Q94" s="28">
        <v>0</v>
      </c>
      <c r="R94" s="28"/>
      <c r="S94" s="28">
        <v>0</v>
      </c>
      <c r="T94" s="28">
        <v>0</v>
      </c>
      <c r="U94" s="28">
        <v>0</v>
      </c>
      <c r="V94" s="28"/>
      <c r="W94" s="28">
        <v>0</v>
      </c>
      <c r="X94" s="28">
        <v>0</v>
      </c>
      <c r="Y94" s="28">
        <v>0</v>
      </c>
      <c r="Z94" s="28"/>
      <c r="AA94" s="28">
        <v>0</v>
      </c>
      <c r="AB94" s="28">
        <v>0</v>
      </c>
      <c r="AC94" s="28">
        <v>0</v>
      </c>
    </row>
    <row r="95" spans="1:29" s="31" customFormat="1" x14ac:dyDescent="0.25">
      <c r="A95" s="34" t="s">
        <v>232</v>
      </c>
      <c r="B95" s="43"/>
      <c r="C95" s="43">
        <v>0</v>
      </c>
      <c r="D95" s="43">
        <v>0</v>
      </c>
      <c r="E95" s="43">
        <v>0</v>
      </c>
      <c r="F95" s="43"/>
      <c r="G95" s="43">
        <v>0</v>
      </c>
      <c r="H95" s="43">
        <v>0</v>
      </c>
      <c r="I95" s="43">
        <v>0</v>
      </c>
      <c r="J95" s="43"/>
      <c r="K95" s="43">
        <v>0</v>
      </c>
      <c r="L95" s="43">
        <v>0</v>
      </c>
      <c r="M95" s="43">
        <v>0</v>
      </c>
      <c r="N95" s="43"/>
      <c r="O95" s="43">
        <v>0</v>
      </c>
      <c r="P95" s="43">
        <v>0</v>
      </c>
      <c r="Q95" s="43">
        <v>0</v>
      </c>
      <c r="R95" s="43"/>
      <c r="S95" s="43">
        <v>0</v>
      </c>
      <c r="T95" s="43">
        <v>0</v>
      </c>
      <c r="U95" s="43">
        <v>0</v>
      </c>
      <c r="V95" s="43"/>
      <c r="W95" s="43">
        <v>0</v>
      </c>
      <c r="X95" s="43">
        <v>0</v>
      </c>
      <c r="Y95" s="43">
        <v>0</v>
      </c>
      <c r="Z95" s="43"/>
      <c r="AA95" s="43">
        <v>0</v>
      </c>
      <c r="AB95" s="43">
        <v>0</v>
      </c>
      <c r="AC95" s="43">
        <v>0</v>
      </c>
    </row>
    <row r="96" spans="1:29" s="31" customFormat="1" x14ac:dyDescent="0.25">
      <c r="A96" s="45" t="s">
        <v>233</v>
      </c>
      <c r="B96" s="43"/>
      <c r="C96" s="43">
        <v>0</v>
      </c>
      <c r="D96" s="43">
        <v>0</v>
      </c>
      <c r="E96" s="43">
        <v>0</v>
      </c>
      <c r="F96" s="43"/>
      <c r="G96" s="43">
        <v>0</v>
      </c>
      <c r="H96" s="43">
        <v>0</v>
      </c>
      <c r="I96" s="43">
        <v>0</v>
      </c>
      <c r="J96" s="43"/>
      <c r="K96" s="43">
        <v>0</v>
      </c>
      <c r="L96" s="43">
        <v>0</v>
      </c>
      <c r="M96" s="43">
        <v>0</v>
      </c>
      <c r="N96" s="43"/>
      <c r="O96" s="43">
        <v>0</v>
      </c>
      <c r="P96" s="43">
        <v>0</v>
      </c>
      <c r="Q96" s="43">
        <v>0</v>
      </c>
      <c r="R96" s="43"/>
      <c r="S96" s="43">
        <v>0</v>
      </c>
      <c r="T96" s="43">
        <v>0</v>
      </c>
      <c r="U96" s="43">
        <v>0</v>
      </c>
      <c r="V96" s="43"/>
      <c r="W96" s="43">
        <v>0</v>
      </c>
      <c r="X96" s="43">
        <v>0</v>
      </c>
      <c r="Y96" s="43">
        <v>0</v>
      </c>
      <c r="Z96" s="43"/>
      <c r="AA96" s="43">
        <v>0</v>
      </c>
      <c r="AB96" s="43">
        <v>0</v>
      </c>
      <c r="AC96" s="43">
        <v>0</v>
      </c>
    </row>
    <row r="97" spans="1:29" s="31" customFormat="1" x14ac:dyDescent="0.25">
      <c r="A97" s="46" t="s">
        <v>234</v>
      </c>
      <c r="B97" s="40">
        <v>0</v>
      </c>
      <c r="C97" s="40">
        <v>0</v>
      </c>
      <c r="D97" s="40">
        <v>6849</v>
      </c>
      <c r="E97" s="40">
        <v>5582</v>
      </c>
      <c r="F97" s="40">
        <v>24499</v>
      </c>
      <c r="G97" s="40">
        <v>4083</v>
      </c>
      <c r="H97" s="40">
        <v>0</v>
      </c>
      <c r="I97" s="40">
        <v>124231</v>
      </c>
      <c r="J97" s="40">
        <v>4877</v>
      </c>
      <c r="K97" s="40">
        <v>39827</v>
      </c>
      <c r="L97" s="40">
        <v>0</v>
      </c>
      <c r="M97" s="40">
        <v>3338</v>
      </c>
      <c r="N97" s="40">
        <v>24339</v>
      </c>
      <c r="O97" s="40">
        <v>14619</v>
      </c>
      <c r="P97" s="40">
        <v>21491</v>
      </c>
      <c r="Q97" s="40">
        <v>182471</v>
      </c>
      <c r="R97" s="40">
        <v>0</v>
      </c>
      <c r="S97" s="40">
        <v>10000</v>
      </c>
      <c r="T97" s="40">
        <v>0</v>
      </c>
      <c r="U97" s="40">
        <v>0</v>
      </c>
      <c r="V97" s="40">
        <v>0</v>
      </c>
      <c r="W97" s="40">
        <v>0</v>
      </c>
      <c r="X97" s="40">
        <v>4406</v>
      </c>
      <c r="Y97" s="40">
        <v>0</v>
      </c>
      <c r="Z97" s="40">
        <v>0</v>
      </c>
      <c r="AA97" s="40">
        <v>0</v>
      </c>
      <c r="AB97" s="40">
        <v>9500</v>
      </c>
      <c r="AC97" s="40">
        <v>0</v>
      </c>
    </row>
    <row r="98" spans="1:29" s="31" customFormat="1" x14ac:dyDescent="0.25">
      <c r="A98" s="47" t="s">
        <v>237</v>
      </c>
      <c r="B98" s="39">
        <v>0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9212</v>
      </c>
      <c r="U98" s="39">
        <v>0</v>
      </c>
      <c r="V98" s="39">
        <v>0</v>
      </c>
      <c r="W98" s="39">
        <v>0</v>
      </c>
      <c r="X98" s="39">
        <v>0</v>
      </c>
      <c r="Y98" s="39">
        <v>9873</v>
      </c>
      <c r="Z98" s="39">
        <v>0</v>
      </c>
      <c r="AA98" s="39">
        <v>0</v>
      </c>
      <c r="AB98" s="39">
        <v>0</v>
      </c>
      <c r="AC98" s="39">
        <v>0</v>
      </c>
    </row>
    <row r="99" spans="1:29" s="31" customFormat="1" x14ac:dyDescent="0.25">
      <c r="A99" s="45" t="s">
        <v>239</v>
      </c>
      <c r="B99" s="43"/>
      <c r="C99" s="43">
        <v>0</v>
      </c>
      <c r="D99" s="43">
        <v>0</v>
      </c>
      <c r="E99" s="43">
        <v>0</v>
      </c>
      <c r="F99" s="43"/>
      <c r="G99" s="43">
        <v>0</v>
      </c>
      <c r="H99" s="43">
        <v>0</v>
      </c>
      <c r="I99" s="43">
        <v>0</v>
      </c>
      <c r="J99" s="43"/>
      <c r="K99" s="43">
        <v>0</v>
      </c>
      <c r="L99" s="43">
        <v>0</v>
      </c>
      <c r="M99" s="43">
        <v>0</v>
      </c>
      <c r="N99" s="43"/>
      <c r="O99" s="43">
        <v>0</v>
      </c>
      <c r="P99" s="43">
        <v>0</v>
      </c>
      <c r="Q99" s="43">
        <v>0</v>
      </c>
      <c r="R99" s="43"/>
      <c r="S99" s="43">
        <v>0</v>
      </c>
      <c r="T99" s="43">
        <v>0</v>
      </c>
      <c r="U99" s="43">
        <v>0</v>
      </c>
      <c r="V99" s="43"/>
      <c r="W99" s="43">
        <v>0</v>
      </c>
      <c r="X99" s="43">
        <v>0</v>
      </c>
      <c r="Y99" s="43">
        <v>0</v>
      </c>
      <c r="Z99" s="43"/>
      <c r="AA99" s="43">
        <v>0</v>
      </c>
      <c r="AB99" s="43">
        <v>0</v>
      </c>
      <c r="AC99" s="43">
        <v>0</v>
      </c>
    </row>
    <row r="100" spans="1:29" s="31" customFormat="1" x14ac:dyDescent="0.25">
      <c r="A100" s="47" t="s">
        <v>240</v>
      </c>
      <c r="B100" s="39">
        <v>-3558</v>
      </c>
      <c r="C100" s="39">
        <v>695</v>
      </c>
      <c r="D100" s="39">
        <v>-3540</v>
      </c>
      <c r="E100" s="39">
        <v>-5199</v>
      </c>
      <c r="F100" s="39">
        <v>-13857</v>
      </c>
      <c r="G100" s="39">
        <v>-213</v>
      </c>
      <c r="H100" s="39">
        <v>-3401</v>
      </c>
      <c r="I100" s="39">
        <v>-105236</v>
      </c>
      <c r="J100" s="39">
        <v>-10692</v>
      </c>
      <c r="K100" s="39">
        <v>-21432</v>
      </c>
      <c r="L100" s="39">
        <v>-119</v>
      </c>
      <c r="M100" s="39">
        <v>4295</v>
      </c>
      <c r="N100" s="39">
        <v>-25960</v>
      </c>
      <c r="O100" s="39">
        <v>3857</v>
      </c>
      <c r="P100" s="39">
        <v>-21649</v>
      </c>
      <c r="Q100" s="39">
        <v>-89139</v>
      </c>
      <c r="R100" s="39">
        <v>-165</v>
      </c>
      <c r="S100" s="39">
        <v>-8943</v>
      </c>
      <c r="T100" s="39">
        <v>-42</v>
      </c>
      <c r="U100" s="39">
        <v>0</v>
      </c>
      <c r="V100" s="39">
        <v>-71</v>
      </c>
      <c r="W100" s="39">
        <v>-111</v>
      </c>
      <c r="X100" s="39">
        <v>-786</v>
      </c>
      <c r="Y100" s="39">
        <v>-1460</v>
      </c>
      <c r="Z100" s="39">
        <v>-666</v>
      </c>
      <c r="AA100" s="39">
        <v>-672</v>
      </c>
      <c r="AB100" s="39">
        <v>-10817</v>
      </c>
      <c r="AC100" s="39">
        <v>-712</v>
      </c>
    </row>
    <row r="101" spans="1:29" s="31" customFormat="1" x14ac:dyDescent="0.25">
      <c r="A101" s="46" t="s">
        <v>243</v>
      </c>
      <c r="B101" s="40">
        <v>0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-5016</v>
      </c>
      <c r="S101" s="40">
        <v>-1889</v>
      </c>
      <c r="T101" s="40">
        <v>-3181</v>
      </c>
      <c r="U101" s="40">
        <v>-2772</v>
      </c>
      <c r="V101" s="40">
        <v>-3618</v>
      </c>
      <c r="W101" s="40">
        <v>-4011</v>
      </c>
      <c r="X101" s="40">
        <v>-4373</v>
      </c>
      <c r="Y101" s="40">
        <v>-4298</v>
      </c>
      <c r="Z101" s="40">
        <v>-4404</v>
      </c>
      <c r="AA101" s="40">
        <v>-4732</v>
      </c>
      <c r="AB101" s="40">
        <v>-5251</v>
      </c>
      <c r="AC101" s="40">
        <v>-5977</v>
      </c>
    </row>
    <row r="102" spans="1:29" s="31" customFormat="1" x14ac:dyDescent="0.25">
      <c r="A102" s="47" t="s">
        <v>246</v>
      </c>
      <c r="B102" s="39">
        <v>0</v>
      </c>
      <c r="C102" s="39">
        <v>-2829</v>
      </c>
      <c r="D102" s="39">
        <v>-1392</v>
      </c>
      <c r="E102" s="39">
        <v>-1381</v>
      </c>
      <c r="F102" s="39">
        <v>-1616</v>
      </c>
      <c r="G102" s="39">
        <v>-1680</v>
      </c>
      <c r="H102" s="39">
        <v>-1544</v>
      </c>
      <c r="I102" s="39">
        <v>-2079</v>
      </c>
      <c r="J102" s="39">
        <v>-1408</v>
      </c>
      <c r="K102" s="39">
        <v>-1577</v>
      </c>
      <c r="L102" s="39">
        <v>-1824</v>
      </c>
      <c r="M102" s="39">
        <v>-1824</v>
      </c>
      <c r="N102" s="39">
        <v>-1842</v>
      </c>
      <c r="O102" s="39">
        <v>-1857</v>
      </c>
      <c r="P102" s="39">
        <v>-1823</v>
      </c>
      <c r="Q102" s="39">
        <v>-1767</v>
      </c>
      <c r="R102" s="39">
        <v>-2471</v>
      </c>
      <c r="S102" s="39">
        <v>-2276</v>
      </c>
      <c r="T102" s="39">
        <v>-2434</v>
      </c>
      <c r="U102" s="39">
        <v>-2476</v>
      </c>
      <c r="V102" s="39">
        <v>-3277</v>
      </c>
      <c r="W102" s="39">
        <v>-3393</v>
      </c>
      <c r="X102" s="39">
        <v>-2276</v>
      </c>
      <c r="Y102" s="39">
        <v>-3025</v>
      </c>
      <c r="Z102" s="39">
        <v>-2492</v>
      </c>
      <c r="AA102" s="39">
        <v>-2482</v>
      </c>
      <c r="AB102" s="39">
        <v>-2588</v>
      </c>
      <c r="AC102" s="39">
        <v>-2562</v>
      </c>
    </row>
    <row r="103" spans="1:29" s="31" customFormat="1" x14ac:dyDescent="0.25">
      <c r="A103" s="46" t="s">
        <v>247</v>
      </c>
      <c r="B103" s="40">
        <v>0</v>
      </c>
      <c r="C103" s="40">
        <v>0</v>
      </c>
      <c r="D103" s="40">
        <v>-1157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-1900</v>
      </c>
      <c r="M103" s="40">
        <v>-4640</v>
      </c>
      <c r="N103" s="40">
        <v>-7075</v>
      </c>
      <c r="O103" s="40">
        <v>0</v>
      </c>
      <c r="P103" s="40">
        <v>0</v>
      </c>
      <c r="Q103" s="40">
        <v>0</v>
      </c>
      <c r="R103" s="40">
        <v>-6642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</row>
    <row r="104" spans="1:29" s="36" customFormat="1" x14ac:dyDescent="0.25">
      <c r="A104" s="35" t="s">
        <v>249</v>
      </c>
      <c r="B104" s="42">
        <f t="shared" ref="B104:AC104" si="72">+SUM(B97:B103)</f>
        <v>-3558</v>
      </c>
      <c r="C104" s="42">
        <f t="shared" si="72"/>
        <v>-2134</v>
      </c>
      <c r="D104" s="42">
        <f t="shared" si="72"/>
        <v>760</v>
      </c>
      <c r="E104" s="42">
        <f t="shared" si="72"/>
        <v>-998</v>
      </c>
      <c r="F104" s="42">
        <f t="shared" si="72"/>
        <v>9026</v>
      </c>
      <c r="G104" s="42">
        <f t="shared" si="72"/>
        <v>2190</v>
      </c>
      <c r="H104" s="42">
        <f t="shared" si="72"/>
        <v>-4945</v>
      </c>
      <c r="I104" s="42">
        <f t="shared" si="72"/>
        <v>16916</v>
      </c>
      <c r="J104" s="42">
        <f t="shared" si="72"/>
        <v>-7223</v>
      </c>
      <c r="K104" s="42">
        <f t="shared" si="72"/>
        <v>16818</v>
      </c>
      <c r="L104" s="42">
        <f t="shared" si="72"/>
        <v>-3843</v>
      </c>
      <c r="M104" s="42">
        <f t="shared" si="72"/>
        <v>1169</v>
      </c>
      <c r="N104" s="42">
        <f t="shared" si="72"/>
        <v>-10538</v>
      </c>
      <c r="O104" s="42">
        <f t="shared" si="72"/>
        <v>16619</v>
      </c>
      <c r="P104" s="42">
        <f t="shared" si="72"/>
        <v>-1981</v>
      </c>
      <c r="Q104" s="42">
        <f t="shared" si="72"/>
        <v>91565</v>
      </c>
      <c r="R104" s="42">
        <f t="shared" si="72"/>
        <v>-14294</v>
      </c>
      <c r="S104" s="42">
        <f t="shared" si="72"/>
        <v>-3108</v>
      </c>
      <c r="T104" s="42">
        <f t="shared" si="72"/>
        <v>3555</v>
      </c>
      <c r="U104" s="42">
        <f t="shared" si="72"/>
        <v>-5248</v>
      </c>
      <c r="V104" s="42">
        <f t="shared" si="72"/>
        <v>-6966</v>
      </c>
      <c r="W104" s="42">
        <f t="shared" si="72"/>
        <v>-7515</v>
      </c>
      <c r="X104" s="42">
        <f t="shared" si="72"/>
        <v>-3029</v>
      </c>
      <c r="Y104" s="42">
        <f t="shared" si="72"/>
        <v>1090</v>
      </c>
      <c r="Z104" s="42">
        <f t="shared" si="72"/>
        <v>-7562</v>
      </c>
      <c r="AA104" s="42">
        <f t="shared" si="72"/>
        <v>-7886</v>
      </c>
      <c r="AB104" s="42">
        <f t="shared" si="72"/>
        <v>-9156</v>
      </c>
      <c r="AC104" s="42">
        <f t="shared" si="72"/>
        <v>-9251</v>
      </c>
    </row>
    <row r="105" spans="1:29" x14ac:dyDescent="0.25">
      <c r="A105" s="4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1:29" s="31" customFormat="1" x14ac:dyDescent="0.25">
      <c r="A106" s="30" t="s">
        <v>250</v>
      </c>
      <c r="B106" s="40">
        <f>+B104+B93+B80</f>
        <v>-14406</v>
      </c>
      <c r="C106" s="40">
        <f t="shared" ref="C106:AB106" si="73">+C104+C93+C80</f>
        <v>-2014</v>
      </c>
      <c r="D106" s="40">
        <f t="shared" si="73"/>
        <v>-1201</v>
      </c>
      <c r="E106" s="40">
        <f t="shared" si="73"/>
        <v>340</v>
      </c>
      <c r="F106" s="40">
        <f t="shared" si="73"/>
        <v>1393</v>
      </c>
      <c r="G106" s="40">
        <f t="shared" si="73"/>
        <v>1187</v>
      </c>
      <c r="H106" s="40">
        <f t="shared" si="73"/>
        <v>-2808</v>
      </c>
      <c r="I106" s="40">
        <f t="shared" si="73"/>
        <v>12447</v>
      </c>
      <c r="J106" s="40">
        <f t="shared" si="73"/>
        <v>-12162</v>
      </c>
      <c r="K106" s="40">
        <f>+K104+K93+K80</f>
        <v>3970</v>
      </c>
      <c r="L106" s="40">
        <f t="shared" si="73"/>
        <v>-2285</v>
      </c>
      <c r="M106" s="40">
        <f t="shared" si="73"/>
        <v>-839</v>
      </c>
      <c r="N106" s="40">
        <f t="shared" si="73"/>
        <v>684</v>
      </c>
      <c r="O106" s="40">
        <f t="shared" si="73"/>
        <v>1252</v>
      </c>
      <c r="P106" s="40">
        <f t="shared" si="73"/>
        <v>5274</v>
      </c>
      <c r="Q106" s="40">
        <f t="shared" si="73"/>
        <v>43230</v>
      </c>
      <c r="R106" s="40">
        <f t="shared" si="73"/>
        <v>-30164</v>
      </c>
      <c r="S106" s="40">
        <f t="shared" si="73"/>
        <v>-2158</v>
      </c>
      <c r="T106" s="40">
        <f>+T104+T93+T80</f>
        <v>-3783</v>
      </c>
      <c r="U106" s="40">
        <f t="shared" si="73"/>
        <v>3255</v>
      </c>
      <c r="V106" s="40">
        <f t="shared" si="73"/>
        <v>-10933</v>
      </c>
      <c r="W106" s="40">
        <f t="shared" si="73"/>
        <v>-2886</v>
      </c>
      <c r="X106" s="40">
        <f t="shared" si="73"/>
        <v>3892</v>
      </c>
      <c r="Y106" s="40">
        <f t="shared" si="73"/>
        <v>704</v>
      </c>
      <c r="Z106" s="40">
        <f t="shared" si="73"/>
        <v>-7436</v>
      </c>
      <c r="AA106" s="40">
        <f t="shared" si="73"/>
        <v>-2367</v>
      </c>
      <c r="AB106" s="40">
        <f t="shared" si="73"/>
        <v>2707</v>
      </c>
      <c r="AC106" s="40">
        <f>+AC104+AC93+AC80</f>
        <v>2531</v>
      </c>
    </row>
    <row r="107" spans="1:29" s="31" customFormat="1" x14ac:dyDescent="0.25">
      <c r="A107" s="32" t="s">
        <v>253</v>
      </c>
      <c r="B107" s="39">
        <v>0</v>
      </c>
      <c r="C107" s="39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-4275</v>
      </c>
      <c r="T107" s="39">
        <v>-4414</v>
      </c>
      <c r="U107" s="39">
        <v>-4691</v>
      </c>
      <c r="V107" s="39">
        <v>5193</v>
      </c>
      <c r="W107" s="39">
        <v>5254</v>
      </c>
      <c r="X107" s="39">
        <v>3489</v>
      </c>
      <c r="Y107" s="39">
        <v>3257</v>
      </c>
      <c r="Z107" s="39">
        <v>2488</v>
      </c>
      <c r="AA107" s="39">
        <v>2973</v>
      </c>
      <c r="AB107" s="39">
        <v>4439</v>
      </c>
      <c r="AC107" s="39">
        <v>2043</v>
      </c>
    </row>
    <row r="108" spans="1:29" s="31" customFormat="1" x14ac:dyDescent="0.25">
      <c r="A108" s="32" t="s">
        <v>255</v>
      </c>
      <c r="B108" s="39">
        <v>19673</v>
      </c>
      <c r="C108" s="39">
        <f>+B109</f>
        <v>5267</v>
      </c>
      <c r="D108" s="39">
        <f t="shared" ref="D108:AC108" si="74">+C109</f>
        <v>3253</v>
      </c>
      <c r="E108" s="39">
        <f t="shared" si="74"/>
        <v>2052</v>
      </c>
      <c r="F108" s="39">
        <f t="shared" si="74"/>
        <v>2392</v>
      </c>
      <c r="G108" s="39">
        <f t="shared" si="74"/>
        <v>3785</v>
      </c>
      <c r="H108" s="39">
        <f t="shared" si="74"/>
        <v>4972</v>
      </c>
      <c r="I108" s="39">
        <f t="shared" si="74"/>
        <v>2164</v>
      </c>
      <c r="J108" s="39">
        <f t="shared" si="74"/>
        <v>14611</v>
      </c>
      <c r="K108" s="39">
        <f t="shared" si="74"/>
        <v>2449</v>
      </c>
      <c r="L108" s="39">
        <f t="shared" si="74"/>
        <v>6419</v>
      </c>
      <c r="M108" s="39">
        <f t="shared" si="74"/>
        <v>4134</v>
      </c>
      <c r="N108" s="39">
        <f t="shared" si="74"/>
        <v>3295</v>
      </c>
      <c r="O108" s="39">
        <f t="shared" si="74"/>
        <v>3979</v>
      </c>
      <c r="P108" s="39">
        <f t="shared" si="74"/>
        <v>5231</v>
      </c>
      <c r="Q108" s="39">
        <f t="shared" si="74"/>
        <v>10505</v>
      </c>
      <c r="R108" s="39">
        <f t="shared" si="74"/>
        <v>53735</v>
      </c>
      <c r="S108" s="39">
        <f t="shared" si="74"/>
        <v>23571</v>
      </c>
      <c r="T108" s="39">
        <f t="shared" si="74"/>
        <v>17138</v>
      </c>
      <c r="U108" s="39">
        <f t="shared" si="74"/>
        <v>8941</v>
      </c>
      <c r="V108" s="39">
        <f t="shared" si="74"/>
        <v>7505</v>
      </c>
      <c r="W108" s="39">
        <f t="shared" si="74"/>
        <v>1765</v>
      </c>
      <c r="X108" s="39">
        <f t="shared" si="74"/>
        <v>4133</v>
      </c>
      <c r="Y108" s="39">
        <f t="shared" si="74"/>
        <v>11514</v>
      </c>
      <c r="Z108" s="39">
        <f t="shared" si="74"/>
        <v>15475</v>
      </c>
      <c r="AA108" s="39">
        <f t="shared" si="74"/>
        <v>10527</v>
      </c>
      <c r="AB108" s="39">
        <f t="shared" si="74"/>
        <v>11133</v>
      </c>
      <c r="AC108" s="39">
        <f t="shared" si="74"/>
        <v>18279</v>
      </c>
    </row>
    <row r="109" spans="1:29" s="31" customFormat="1" x14ac:dyDescent="0.25">
      <c r="A109" s="33" t="s">
        <v>256</v>
      </c>
      <c r="B109" s="43">
        <f>+SUM(B106:B108)</f>
        <v>5267</v>
      </c>
      <c r="C109" s="43">
        <f t="shared" ref="C109:F109" si="75">+SUM(C106:C108)</f>
        <v>3253</v>
      </c>
      <c r="D109" s="43">
        <f t="shared" si="75"/>
        <v>2052</v>
      </c>
      <c r="E109" s="43">
        <f t="shared" si="75"/>
        <v>2392</v>
      </c>
      <c r="F109" s="43">
        <f t="shared" si="75"/>
        <v>3785</v>
      </c>
      <c r="G109" s="43">
        <f t="shared" ref="G109:AC109" si="76">+SUM(G106:G108)</f>
        <v>4972</v>
      </c>
      <c r="H109" s="43">
        <f t="shared" si="76"/>
        <v>2164</v>
      </c>
      <c r="I109" s="43">
        <f t="shared" si="76"/>
        <v>14611</v>
      </c>
      <c r="J109" s="43">
        <f t="shared" si="76"/>
        <v>2449</v>
      </c>
      <c r="K109" s="43">
        <f t="shared" si="76"/>
        <v>6419</v>
      </c>
      <c r="L109" s="43">
        <f t="shared" si="76"/>
        <v>4134</v>
      </c>
      <c r="M109" s="43">
        <f t="shared" si="76"/>
        <v>3295</v>
      </c>
      <c r="N109" s="43">
        <f t="shared" si="76"/>
        <v>3979</v>
      </c>
      <c r="O109" s="43">
        <f t="shared" si="76"/>
        <v>5231</v>
      </c>
      <c r="P109" s="43">
        <f t="shared" si="76"/>
        <v>10505</v>
      </c>
      <c r="Q109" s="43">
        <f t="shared" si="76"/>
        <v>53735</v>
      </c>
      <c r="R109" s="43">
        <f t="shared" si="76"/>
        <v>23571</v>
      </c>
      <c r="S109" s="43">
        <f t="shared" si="76"/>
        <v>17138</v>
      </c>
      <c r="T109" s="43">
        <f t="shared" si="76"/>
        <v>8941</v>
      </c>
      <c r="U109" s="43">
        <f t="shared" si="76"/>
        <v>7505</v>
      </c>
      <c r="V109" s="43">
        <f t="shared" si="76"/>
        <v>1765</v>
      </c>
      <c r="W109" s="43">
        <f t="shared" si="76"/>
        <v>4133</v>
      </c>
      <c r="X109" s="43">
        <f t="shared" si="76"/>
        <v>11514</v>
      </c>
      <c r="Y109" s="43">
        <f t="shared" si="76"/>
        <v>15475</v>
      </c>
      <c r="Z109" s="43">
        <f t="shared" si="76"/>
        <v>10527</v>
      </c>
      <c r="AA109" s="43">
        <f t="shared" si="76"/>
        <v>11133</v>
      </c>
      <c r="AB109" s="43">
        <f t="shared" si="76"/>
        <v>18279</v>
      </c>
      <c r="AC109" s="43">
        <f t="shared" si="76"/>
        <v>22853</v>
      </c>
    </row>
    <row r="110" spans="1:29" ht="15" customHeight="1" x14ac:dyDescent="0.25">
      <c r="A110" s="67" t="s">
        <v>1760</v>
      </c>
    </row>
    <row r="111" spans="1:29" ht="15" customHeight="1" x14ac:dyDescent="0.25">
      <c r="A111" s="68"/>
    </row>
    <row r="112" spans="1:29" ht="15" customHeight="1" x14ac:dyDescent="0.25">
      <c r="A112" s="68"/>
    </row>
    <row r="113" spans="1:1" ht="15" customHeight="1" x14ac:dyDescent="0.25">
      <c r="A113" s="68"/>
    </row>
    <row r="114" spans="1:1" ht="15" customHeight="1" x14ac:dyDescent="0.25">
      <c r="A114" s="68"/>
    </row>
    <row r="115" spans="1:1" ht="15" customHeight="1" x14ac:dyDescent="0.25">
      <c r="A115" s="68"/>
    </row>
    <row r="116" spans="1:1" ht="15" customHeight="1" x14ac:dyDescent="0.25">
      <c r="A116" s="68"/>
    </row>
    <row r="117" spans="1:1" ht="15" customHeight="1" x14ac:dyDescent="0.25">
      <c r="A117" s="68"/>
    </row>
  </sheetData>
  <mergeCells count="1">
    <mergeCell ref="A110:A117"/>
  </mergeCells>
  <phoneticPr fontId="6" type="noConversion"/>
  <conditionalFormatting sqref="B3:AC19 F20:AC26 B20:E31 B32:AC67 B69:E69">
    <cfRule type="cellIs" dxfId="9" priority="9" operator="greaterThan">
      <formula>0</formula>
    </cfRule>
    <cfRule type="cellIs" dxfId="8" priority="10" operator="lessThan">
      <formula>0</formula>
    </cfRule>
  </conditionalFormatting>
  <conditionalFormatting sqref="B70:AC1048576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9B46-45C4-4DCC-A147-86F5FCCA71FF}">
  <dimension ref="A1:AC107"/>
  <sheetViews>
    <sheetView zoomScale="115" zoomScaleNormal="115" workbookViewId="0">
      <pane xSplit="1" ySplit="1" topLeftCell="N2" activePane="bottomRight" state="frozen"/>
      <selection pane="topRight" activeCell="B1" sqref="B1"/>
      <selection pane="bottomLeft" activeCell="A3" sqref="A3"/>
      <selection pane="bottomRight" activeCell="AD1" sqref="AD1:AD1048576"/>
    </sheetView>
  </sheetViews>
  <sheetFormatPr defaultColWidth="10.42578125" defaultRowHeight="15" x14ac:dyDescent="0.25"/>
  <cols>
    <col min="1" max="1" width="58.5703125" customWidth="1"/>
    <col min="2" max="29" width="10.7109375" style="51" customWidth="1"/>
    <col min="30" max="16384" width="10.42578125" style="12"/>
  </cols>
  <sheetData>
    <row r="1" spans="1:29" x14ac:dyDescent="0.25">
      <c r="A1" t="s">
        <v>1761</v>
      </c>
      <c r="B1" s="51" t="s">
        <v>1732</v>
      </c>
      <c r="C1" s="51" t="s">
        <v>1733</v>
      </c>
      <c r="D1" s="51" t="s">
        <v>1734</v>
      </c>
      <c r="E1" s="51" t="s">
        <v>1735</v>
      </c>
      <c r="F1" s="51" t="s">
        <v>1736</v>
      </c>
      <c r="G1" s="51" t="s">
        <v>1737</v>
      </c>
      <c r="H1" s="51" t="s">
        <v>1738</v>
      </c>
      <c r="I1" s="51" t="s">
        <v>1739</v>
      </c>
      <c r="J1" s="51" t="s">
        <v>1740</v>
      </c>
      <c r="K1" s="51" t="s">
        <v>1741</v>
      </c>
      <c r="L1" s="51" t="s">
        <v>1742</v>
      </c>
      <c r="M1" s="51" t="s">
        <v>1743</v>
      </c>
      <c r="N1" s="51" t="s">
        <v>1744</v>
      </c>
      <c r="O1" s="51" t="s">
        <v>1745</v>
      </c>
      <c r="P1" s="51" t="s">
        <v>1746</v>
      </c>
      <c r="Q1" s="51" t="s">
        <v>1747</v>
      </c>
      <c r="R1" s="51" t="s">
        <v>1748</v>
      </c>
      <c r="S1" s="51" t="s">
        <v>1749</v>
      </c>
      <c r="T1" s="51" t="s">
        <v>1750</v>
      </c>
      <c r="U1" s="51" t="s">
        <v>1751</v>
      </c>
      <c r="V1" s="51" t="s">
        <v>1752</v>
      </c>
      <c r="W1" s="51" t="s">
        <v>1753</v>
      </c>
      <c r="X1" s="51" t="s">
        <v>1754</v>
      </c>
      <c r="Y1" s="51" t="s">
        <v>1755</v>
      </c>
      <c r="Z1" s="51" t="s">
        <v>1756</v>
      </c>
      <c r="AA1" s="51" t="s">
        <v>1757</v>
      </c>
      <c r="AB1" s="51" t="s">
        <v>1758</v>
      </c>
      <c r="AC1" s="51" t="s">
        <v>1759</v>
      </c>
    </row>
    <row r="2" spans="1:29" ht="22.5" customHeight="1" x14ac:dyDescent="0.25">
      <c r="A2" t="s">
        <v>1121</v>
      </c>
    </row>
    <row r="3" spans="1:29" x14ac:dyDescent="0.25">
      <c r="A3" s="3" t="s">
        <v>7</v>
      </c>
    </row>
    <row r="4" spans="1:29" x14ac:dyDescent="0.25">
      <c r="A4" s="4" t="s">
        <v>78</v>
      </c>
      <c r="B4" s="48">
        <v>28755</v>
      </c>
      <c r="C4" s="48">
        <v>37458</v>
      </c>
      <c r="D4" s="48">
        <v>43791</v>
      </c>
      <c r="E4" s="48">
        <v>38897</v>
      </c>
      <c r="F4" s="48">
        <v>30883</v>
      </c>
      <c r="G4" s="48">
        <v>40372</v>
      </c>
      <c r="H4" s="48">
        <v>44899</v>
      </c>
      <c r="I4" s="48">
        <v>39759</v>
      </c>
      <c r="J4" s="48">
        <v>34394</v>
      </c>
      <c r="K4" s="48">
        <v>41457</v>
      </c>
      <c r="L4" s="48">
        <v>47769</v>
      </c>
      <c r="M4" s="48">
        <v>44534</v>
      </c>
      <c r="N4" s="48">
        <v>37259</v>
      </c>
      <c r="O4" s="48">
        <v>47991</v>
      </c>
      <c r="P4" s="48">
        <v>52862</v>
      </c>
      <c r="Q4" s="48">
        <v>45397</v>
      </c>
      <c r="R4" s="48">
        <v>33728</v>
      </c>
      <c r="S4" s="48">
        <v>15592</v>
      </c>
      <c r="T4" s="48">
        <v>21589</v>
      </c>
      <c r="U4" s="48">
        <v>18713</v>
      </c>
      <c r="V4" s="48">
        <v>15407</v>
      </c>
      <c r="W4" s="48">
        <v>17659</v>
      </c>
      <c r="X4" s="48">
        <v>25712</v>
      </c>
      <c r="Y4" s="48">
        <v>29569</v>
      </c>
      <c r="Z4" s="48">
        <v>26669</v>
      </c>
      <c r="AA4" s="48">
        <v>37701</v>
      </c>
      <c r="AB4" s="48">
        <v>47668</v>
      </c>
      <c r="AC4" s="48">
        <v>40161</v>
      </c>
    </row>
    <row r="5" spans="1:29" x14ac:dyDescent="0.25">
      <c r="A5" s="6" t="s">
        <v>79</v>
      </c>
      <c r="B5" s="49">
        <v>-19808</v>
      </c>
      <c r="C5" s="49">
        <v>-23232</v>
      </c>
      <c r="D5" s="49">
        <v>-25183</v>
      </c>
      <c r="E5" s="49">
        <v>-24445</v>
      </c>
      <c r="F5" s="49">
        <v>-22371</v>
      </c>
      <c r="G5" s="49">
        <v>-23893</v>
      </c>
      <c r="H5" s="49">
        <v>-26568</v>
      </c>
      <c r="I5" s="49">
        <v>-26365</v>
      </c>
      <c r="J5" s="49">
        <v>-24351</v>
      </c>
      <c r="K5" s="49">
        <v>-27486</v>
      </c>
      <c r="L5" s="49">
        <v>-29906</v>
      </c>
      <c r="M5" s="49">
        <v>-29928</v>
      </c>
      <c r="N5" s="49">
        <v>-27217</v>
      </c>
      <c r="O5" s="49">
        <v>-30562</v>
      </c>
      <c r="P5" s="49">
        <v>-32781</v>
      </c>
      <c r="Q5" s="49">
        <v>-30829</v>
      </c>
      <c r="R5" s="49">
        <v>-31059</v>
      </c>
      <c r="S5" s="49">
        <v>-13523</v>
      </c>
      <c r="T5" s="49">
        <v>-20393</v>
      </c>
      <c r="U5" s="49">
        <v>-19295</v>
      </c>
      <c r="V5" s="49">
        <v>-16809</v>
      </c>
      <c r="W5" s="49">
        <v>-18128</v>
      </c>
      <c r="X5" s="49">
        <v>-20461</v>
      </c>
      <c r="Y5" s="49">
        <v>-22703</v>
      </c>
      <c r="Z5" s="49">
        <v>-22466</v>
      </c>
      <c r="AA5" s="49">
        <v>-26699</v>
      </c>
      <c r="AB5" s="49">
        <v>-29514</v>
      </c>
      <c r="AC5" s="49">
        <v>-29420</v>
      </c>
    </row>
    <row r="6" spans="1:29" s="25" customFormat="1" x14ac:dyDescent="0.25">
      <c r="A6" s="22" t="s">
        <v>82</v>
      </c>
      <c r="B6" s="50">
        <f>+B4+B5</f>
        <v>8947</v>
      </c>
      <c r="C6" s="50">
        <f t="shared" ref="C6:AC6" si="0">+C4+C5</f>
        <v>14226</v>
      </c>
      <c r="D6" s="50">
        <f t="shared" si="0"/>
        <v>18608</v>
      </c>
      <c r="E6" s="50">
        <f t="shared" si="0"/>
        <v>14452</v>
      </c>
      <c r="F6" s="50">
        <f t="shared" si="0"/>
        <v>8512</v>
      </c>
      <c r="G6" s="50">
        <f t="shared" si="0"/>
        <v>16479</v>
      </c>
      <c r="H6" s="50">
        <f t="shared" si="0"/>
        <v>18331</v>
      </c>
      <c r="I6" s="50">
        <f t="shared" si="0"/>
        <v>13394</v>
      </c>
      <c r="J6" s="50">
        <f t="shared" si="0"/>
        <v>10043</v>
      </c>
      <c r="K6" s="50">
        <f t="shared" si="0"/>
        <v>13971</v>
      </c>
      <c r="L6" s="50">
        <f t="shared" si="0"/>
        <v>17863</v>
      </c>
      <c r="M6" s="50">
        <f t="shared" si="0"/>
        <v>14606</v>
      </c>
      <c r="N6" s="50">
        <f t="shared" si="0"/>
        <v>10042</v>
      </c>
      <c r="O6" s="50">
        <f t="shared" si="0"/>
        <v>17429</v>
      </c>
      <c r="P6" s="50">
        <f t="shared" si="0"/>
        <v>20081</v>
      </c>
      <c r="Q6" s="50">
        <f t="shared" si="0"/>
        <v>14568</v>
      </c>
      <c r="R6" s="50">
        <f t="shared" si="0"/>
        <v>2669</v>
      </c>
      <c r="S6" s="50">
        <f t="shared" si="0"/>
        <v>2069</v>
      </c>
      <c r="T6" s="50">
        <f t="shared" si="0"/>
        <v>1196</v>
      </c>
      <c r="U6" s="50">
        <f t="shared" si="0"/>
        <v>-582</v>
      </c>
      <c r="V6" s="50">
        <f t="shared" si="0"/>
        <v>-1402</v>
      </c>
      <c r="W6" s="50">
        <f t="shared" si="0"/>
        <v>-469</v>
      </c>
      <c r="X6" s="50">
        <f t="shared" si="0"/>
        <v>5251</v>
      </c>
      <c r="Y6" s="50">
        <f t="shared" si="0"/>
        <v>6866</v>
      </c>
      <c r="Z6" s="50">
        <f t="shared" si="0"/>
        <v>4203</v>
      </c>
      <c r="AA6" s="50">
        <f t="shared" si="0"/>
        <v>11002</v>
      </c>
      <c r="AB6" s="50">
        <f t="shared" si="0"/>
        <v>18154</v>
      </c>
      <c r="AC6" s="50">
        <f t="shared" si="0"/>
        <v>10741</v>
      </c>
    </row>
    <row r="7" spans="1:29" s="25" customFormat="1" x14ac:dyDescent="0.25">
      <c r="A7" s="22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</row>
    <row r="8" spans="1:29" x14ac:dyDescent="0.25">
      <c r="A8" s="27" t="s">
        <v>1724</v>
      </c>
      <c r="B8" s="49">
        <v>-1611</v>
      </c>
      <c r="C8" s="49">
        <v>-1587</v>
      </c>
      <c r="D8" s="49">
        <v>-1432</v>
      </c>
      <c r="E8" s="49">
        <v>-1354</v>
      </c>
      <c r="F8" s="49">
        <v>-1820</v>
      </c>
      <c r="G8" s="49">
        <v>-1856</v>
      </c>
      <c r="H8" s="49">
        <v>-1547</v>
      </c>
      <c r="I8" s="49">
        <v>-1967</v>
      </c>
      <c r="J8" s="49">
        <v>-2335</v>
      </c>
      <c r="K8" s="49">
        <v>-2294</v>
      </c>
      <c r="L8" s="49">
        <v>-2151</v>
      </c>
      <c r="M8" s="49">
        <v>-1795</v>
      </c>
      <c r="N8" s="49">
        <v>-2582</v>
      </c>
      <c r="O8" s="49">
        <v>-2127</v>
      </c>
      <c r="P8" s="49">
        <v>-1892</v>
      </c>
      <c r="Q8" s="49">
        <v>-3534</v>
      </c>
      <c r="R8" s="49">
        <v>-2462</v>
      </c>
      <c r="S8" s="49">
        <v>-451</v>
      </c>
      <c r="T8" s="49">
        <v>-1389</v>
      </c>
      <c r="U8" s="49">
        <v>-1162</v>
      </c>
      <c r="V8" s="49">
        <v>-1050</v>
      </c>
      <c r="W8" s="49">
        <v>-1252</v>
      </c>
      <c r="X8" s="49">
        <v>-1173</v>
      </c>
      <c r="Y8" s="49">
        <v>-1144</v>
      </c>
      <c r="Z8" s="49">
        <v>-1190</v>
      </c>
      <c r="AA8" s="49">
        <v>-1298</v>
      </c>
      <c r="AB8" s="49">
        <v>-1945</v>
      </c>
      <c r="AC8" s="49">
        <v>-1882</v>
      </c>
    </row>
    <row r="9" spans="1:29" x14ac:dyDescent="0.25">
      <c r="A9" s="27" t="s">
        <v>1725</v>
      </c>
      <c r="B9" s="52">
        <v>-7758</v>
      </c>
      <c r="C9" s="52">
        <v>-9526</v>
      </c>
      <c r="D9" s="52">
        <v>-8696</v>
      </c>
      <c r="E9" s="52">
        <v>-8342</v>
      </c>
      <c r="F9" s="52">
        <v>-9017</v>
      </c>
      <c r="G9" s="52">
        <v>-8585</v>
      </c>
      <c r="H9" s="52">
        <v>-9116</v>
      </c>
      <c r="I9" s="52">
        <v>-10451</v>
      </c>
      <c r="J9" s="52">
        <v>-10339</v>
      </c>
      <c r="K9" s="52">
        <v>-9508</v>
      </c>
      <c r="L9" s="52">
        <v>-9967</v>
      </c>
      <c r="M9" s="52">
        <v>-10487</v>
      </c>
      <c r="N9" s="52">
        <v>-10918</v>
      </c>
      <c r="O9" s="52">
        <v>-10597</v>
      </c>
      <c r="P9" s="52">
        <v>-10807</v>
      </c>
      <c r="Q9" s="52">
        <v>-10713</v>
      </c>
      <c r="R9" s="52">
        <v>-7032</v>
      </c>
      <c r="S9" s="52">
        <v>-9109</v>
      </c>
      <c r="T9" s="52">
        <v>-8260</v>
      </c>
      <c r="U9" s="52">
        <v>-7612</v>
      </c>
      <c r="V9" s="52">
        <v>-5882</v>
      </c>
      <c r="W9" s="52">
        <v>-5958</v>
      </c>
      <c r="X9" s="52">
        <v>-6299</v>
      </c>
      <c r="Y9" s="52">
        <v>-8660</v>
      </c>
      <c r="Z9" s="52">
        <v>-5493</v>
      </c>
      <c r="AA9" s="52">
        <v>-6451</v>
      </c>
      <c r="AB9" s="52">
        <v>-6998</v>
      </c>
      <c r="AC9" s="52">
        <v>-6904</v>
      </c>
    </row>
    <row r="10" spans="1:29" x14ac:dyDescent="0.25">
      <c r="A10" s="8" t="s">
        <v>90</v>
      </c>
      <c r="B10" s="52">
        <v>0</v>
      </c>
      <c r="C10" s="52">
        <v>0</v>
      </c>
      <c r="D10" s="52">
        <v>0</v>
      </c>
      <c r="E10" s="52">
        <v>1852</v>
      </c>
      <c r="F10" s="52">
        <v>222</v>
      </c>
      <c r="G10" s="52">
        <v>430</v>
      </c>
      <c r="H10" s="52">
        <v>553</v>
      </c>
      <c r="I10" s="52">
        <v>4225</v>
      </c>
      <c r="J10" s="52">
        <v>125</v>
      </c>
      <c r="K10" s="52">
        <v>637</v>
      </c>
      <c r="L10" s="52">
        <v>968</v>
      </c>
      <c r="M10" s="52">
        <v>2512</v>
      </c>
      <c r="N10" s="52">
        <v>134</v>
      </c>
      <c r="O10" s="52">
        <v>267</v>
      </c>
      <c r="P10" s="52">
        <v>253</v>
      </c>
      <c r="Q10" s="52">
        <v>1595</v>
      </c>
      <c r="R10" s="52">
        <v>1266</v>
      </c>
      <c r="S10" s="52">
        <v>134</v>
      </c>
      <c r="T10" s="52">
        <v>5209</v>
      </c>
      <c r="U10" s="52">
        <v>470</v>
      </c>
      <c r="V10" s="52">
        <v>234</v>
      </c>
      <c r="W10" s="52">
        <v>766</v>
      </c>
      <c r="X10" s="52">
        <v>477</v>
      </c>
      <c r="Y10" s="52">
        <v>1365</v>
      </c>
      <c r="Z10" s="52">
        <v>403</v>
      </c>
      <c r="AA10" s="52">
        <v>309</v>
      </c>
      <c r="AB10" s="52">
        <v>1494</v>
      </c>
      <c r="AC10" s="52">
        <v>1599</v>
      </c>
    </row>
    <row r="11" spans="1:29" x14ac:dyDescent="0.25">
      <c r="A11" s="6" t="s">
        <v>91</v>
      </c>
      <c r="B11" s="49">
        <v>-269</v>
      </c>
      <c r="C11" s="49">
        <v>-219</v>
      </c>
      <c r="D11" s="49">
        <v>-295</v>
      </c>
      <c r="E11" s="49">
        <v>-352</v>
      </c>
      <c r="F11" s="49">
        <v>-310</v>
      </c>
      <c r="G11" s="49">
        <v>-477</v>
      </c>
      <c r="H11" s="49">
        <v>-854</v>
      </c>
      <c r="I11" s="49">
        <v>-134</v>
      </c>
      <c r="J11" s="49">
        <v>-419</v>
      </c>
      <c r="K11" s="49">
        <v>-354</v>
      </c>
      <c r="L11" s="49">
        <v>-770</v>
      </c>
      <c r="M11" s="49">
        <v>-1475</v>
      </c>
      <c r="N11" s="49">
        <v>-438</v>
      </c>
      <c r="O11" s="49">
        <v>-492</v>
      </c>
      <c r="P11" s="49">
        <v>-557</v>
      </c>
      <c r="Q11" s="49">
        <v>-1141</v>
      </c>
      <c r="R11" s="49">
        <v>-442</v>
      </c>
      <c r="S11" s="49">
        <v>-40</v>
      </c>
      <c r="T11" s="49">
        <v>-463</v>
      </c>
      <c r="U11" s="49">
        <v>-991</v>
      </c>
      <c r="V11" s="49">
        <v>-251</v>
      </c>
      <c r="W11" s="49">
        <v>-64</v>
      </c>
      <c r="X11" s="49">
        <v>-599</v>
      </c>
      <c r="Y11" s="49">
        <v>-388</v>
      </c>
      <c r="Z11" s="49">
        <v>-278</v>
      </c>
      <c r="AA11" s="49">
        <v>-1853</v>
      </c>
      <c r="AB11" s="49">
        <v>-1558</v>
      </c>
      <c r="AC11" s="49">
        <v>-812</v>
      </c>
    </row>
    <row r="12" spans="1:29" x14ac:dyDescent="0.25">
      <c r="A12" s="17" t="s">
        <v>1726</v>
      </c>
      <c r="B12" s="53">
        <f>+SUM(B8:B11)</f>
        <v>-9638</v>
      </c>
      <c r="C12" s="53">
        <f t="shared" ref="C12:AC12" si="1">+SUM(C8:C11)</f>
        <v>-11332</v>
      </c>
      <c r="D12" s="53">
        <f t="shared" si="1"/>
        <v>-10423</v>
      </c>
      <c r="E12" s="53">
        <f t="shared" si="1"/>
        <v>-8196</v>
      </c>
      <c r="F12" s="53">
        <f t="shared" si="1"/>
        <v>-10925</v>
      </c>
      <c r="G12" s="53">
        <f t="shared" si="1"/>
        <v>-10488</v>
      </c>
      <c r="H12" s="53">
        <f t="shared" si="1"/>
        <v>-10964</v>
      </c>
      <c r="I12" s="53">
        <f t="shared" si="1"/>
        <v>-8327</v>
      </c>
      <c r="J12" s="53">
        <f t="shared" si="1"/>
        <v>-12968</v>
      </c>
      <c r="K12" s="53">
        <f t="shared" si="1"/>
        <v>-11519</v>
      </c>
      <c r="L12" s="53">
        <f t="shared" si="1"/>
        <v>-11920</v>
      </c>
      <c r="M12" s="53">
        <f t="shared" si="1"/>
        <v>-11245</v>
      </c>
      <c r="N12" s="53">
        <f t="shared" si="1"/>
        <v>-13804</v>
      </c>
      <c r="O12" s="53">
        <f t="shared" si="1"/>
        <v>-12949</v>
      </c>
      <c r="P12" s="53">
        <f t="shared" si="1"/>
        <v>-13003</v>
      </c>
      <c r="Q12" s="53">
        <f t="shared" si="1"/>
        <v>-13793</v>
      </c>
      <c r="R12" s="53">
        <f t="shared" si="1"/>
        <v>-8670</v>
      </c>
      <c r="S12" s="53">
        <f t="shared" si="1"/>
        <v>-9466</v>
      </c>
      <c r="T12" s="53">
        <f t="shared" si="1"/>
        <v>-4903</v>
      </c>
      <c r="U12" s="53">
        <f t="shared" si="1"/>
        <v>-9295</v>
      </c>
      <c r="V12" s="53">
        <f t="shared" si="1"/>
        <v>-6949</v>
      </c>
      <c r="W12" s="53">
        <f t="shared" si="1"/>
        <v>-6508</v>
      </c>
      <c r="X12" s="53">
        <f t="shared" si="1"/>
        <v>-7594</v>
      </c>
      <c r="Y12" s="53">
        <f t="shared" si="1"/>
        <v>-8827</v>
      </c>
      <c r="Z12" s="53">
        <f t="shared" si="1"/>
        <v>-6558</v>
      </c>
      <c r="AA12" s="53">
        <f t="shared" si="1"/>
        <v>-9293</v>
      </c>
      <c r="AB12" s="53">
        <f t="shared" si="1"/>
        <v>-9007</v>
      </c>
      <c r="AC12" s="53">
        <f t="shared" si="1"/>
        <v>-7999</v>
      </c>
    </row>
    <row r="13" spans="1:29" x14ac:dyDescent="0.25">
      <c r="A13" s="6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s="25" customFormat="1" x14ac:dyDescent="0.25">
      <c r="A14" s="22" t="s">
        <v>1729</v>
      </c>
      <c r="B14" s="50">
        <f t="shared" ref="B14:AC14" si="2">+SUM(B6,B8:B11)</f>
        <v>-691</v>
      </c>
      <c r="C14" s="50">
        <f t="shared" si="2"/>
        <v>2894</v>
      </c>
      <c r="D14" s="50">
        <f t="shared" si="2"/>
        <v>8185</v>
      </c>
      <c r="E14" s="50">
        <f t="shared" si="2"/>
        <v>6256</v>
      </c>
      <c r="F14" s="50">
        <f t="shared" si="2"/>
        <v>-2413</v>
      </c>
      <c r="G14" s="50">
        <f t="shared" si="2"/>
        <v>5991</v>
      </c>
      <c r="H14" s="50">
        <f t="shared" si="2"/>
        <v>7367</v>
      </c>
      <c r="I14" s="50">
        <f t="shared" si="2"/>
        <v>5067</v>
      </c>
      <c r="J14" s="50">
        <f t="shared" si="2"/>
        <v>-2925</v>
      </c>
      <c r="K14" s="50">
        <f t="shared" si="2"/>
        <v>2452</v>
      </c>
      <c r="L14" s="50">
        <f t="shared" si="2"/>
        <v>5943</v>
      </c>
      <c r="M14" s="50">
        <f t="shared" si="2"/>
        <v>3361</v>
      </c>
      <c r="N14" s="50">
        <f t="shared" si="2"/>
        <v>-3762</v>
      </c>
      <c r="O14" s="50">
        <f t="shared" si="2"/>
        <v>4480</v>
      </c>
      <c r="P14" s="50">
        <f t="shared" si="2"/>
        <v>7078</v>
      </c>
      <c r="Q14" s="50">
        <f t="shared" si="2"/>
        <v>775</v>
      </c>
      <c r="R14" s="50">
        <f t="shared" si="2"/>
        <v>-6001</v>
      </c>
      <c r="S14" s="50">
        <f t="shared" si="2"/>
        <v>-7397</v>
      </c>
      <c r="T14" s="50">
        <f t="shared" si="2"/>
        <v>-3707</v>
      </c>
      <c r="U14" s="50">
        <f t="shared" si="2"/>
        <v>-9877</v>
      </c>
      <c r="V14" s="50">
        <f t="shared" si="2"/>
        <v>-8351</v>
      </c>
      <c r="W14" s="50">
        <f t="shared" si="2"/>
        <v>-6977</v>
      </c>
      <c r="X14" s="50">
        <f t="shared" si="2"/>
        <v>-2343</v>
      </c>
      <c r="Y14" s="50">
        <f t="shared" si="2"/>
        <v>-1961</v>
      </c>
      <c r="Z14" s="50">
        <f t="shared" si="2"/>
        <v>-2355</v>
      </c>
      <c r="AA14" s="50">
        <f t="shared" si="2"/>
        <v>1709</v>
      </c>
      <c r="AB14" s="50">
        <f t="shared" si="2"/>
        <v>9147</v>
      </c>
      <c r="AC14" s="50">
        <f t="shared" si="2"/>
        <v>2742</v>
      </c>
    </row>
    <row r="15" spans="1:29" x14ac:dyDescent="0.25">
      <c r="A15" s="4" t="s">
        <v>1730</v>
      </c>
      <c r="B15" s="48">
        <f>(2835+131)</f>
        <v>2966</v>
      </c>
      <c r="C15" s="48">
        <f>5789+487-B15</f>
        <v>3310</v>
      </c>
      <c r="D15" s="48">
        <f>8992+845-C15-B15</f>
        <v>3561</v>
      </c>
      <c r="E15" s="48">
        <f>13323+1213-SUM(B15:D15)</f>
        <v>4699</v>
      </c>
      <c r="F15" s="48">
        <f>3780+387</f>
        <v>4167</v>
      </c>
      <c r="G15" s="48">
        <f>7729+791-F15</f>
        <v>4353</v>
      </c>
      <c r="H15" s="48">
        <f>12043+1202-SUM(F15:G15)</f>
        <v>4725</v>
      </c>
      <c r="I15" s="48">
        <f>16383+2276-SUM(F15:H15)</f>
        <v>5414</v>
      </c>
      <c r="J15" s="48">
        <f>4646+802</f>
        <v>5448</v>
      </c>
      <c r="K15" s="48">
        <f>9352+1598-J15</f>
        <v>5502</v>
      </c>
      <c r="L15" s="48">
        <f>14359+2383-SUM(J15:K15)</f>
        <v>5792</v>
      </c>
      <c r="M15" s="48">
        <f>20743+3173-SUM(J15:L15)</f>
        <v>7174</v>
      </c>
      <c r="N15" s="48">
        <f>9350+920</f>
        <v>10270</v>
      </c>
      <c r="O15" s="48">
        <f>18986+1863-N15</f>
        <v>10579</v>
      </c>
      <c r="P15" s="48">
        <f>28971+3110-SUM(N15:O15)</f>
        <v>11232</v>
      </c>
      <c r="Q15" s="48">
        <f>39795+7481-SUM(N15:P15)</f>
        <v>15195</v>
      </c>
      <c r="R15" s="48">
        <f>7098+273</f>
        <v>7371</v>
      </c>
      <c r="S15" s="48">
        <f>14124+457-R15</f>
        <v>7210</v>
      </c>
      <c r="T15" s="48">
        <f>21121+699-SUM(R15:S15)</f>
        <v>7239</v>
      </c>
      <c r="U15" s="48">
        <f>30180+1004-SUM(R15:T15)</f>
        <v>9364</v>
      </c>
      <c r="V15" s="48">
        <f>5932+178</f>
        <v>6110</v>
      </c>
      <c r="W15" s="48">
        <f>9756+366-V15</f>
        <v>4012</v>
      </c>
      <c r="X15" s="48">
        <f>17904+678-SUM(V15:W15)</f>
        <v>8460</v>
      </c>
      <c r="Y15" s="48">
        <f>23129+2127-SUM(V15:X15)</f>
        <v>6674</v>
      </c>
      <c r="Z15" s="48">
        <f>5104+243</f>
        <v>5347</v>
      </c>
      <c r="AA15" s="48">
        <f>9964+560-Z15</f>
        <v>5177</v>
      </c>
      <c r="AB15" s="48">
        <f>14625+1014-SUM(Z15:AA15)</f>
        <v>5115</v>
      </c>
      <c r="AC15" s="48">
        <f>19253+1465-SUM(Z15:AB15)</f>
        <v>5079</v>
      </c>
    </row>
    <row r="16" spans="1:29" s="25" customFormat="1" x14ac:dyDescent="0.25">
      <c r="A16" s="22" t="s">
        <v>1728</v>
      </c>
      <c r="B16" s="50">
        <f>+SUM(B14:B15)</f>
        <v>2275</v>
      </c>
      <c r="C16" s="50">
        <f t="shared" ref="C16:AC16" si="3">+SUM(C14:C15)</f>
        <v>6204</v>
      </c>
      <c r="D16" s="50">
        <f t="shared" si="3"/>
        <v>11746</v>
      </c>
      <c r="E16" s="50">
        <f t="shared" si="3"/>
        <v>10955</v>
      </c>
      <c r="F16" s="50">
        <f t="shared" si="3"/>
        <v>1754</v>
      </c>
      <c r="G16" s="50">
        <f t="shared" si="3"/>
        <v>10344</v>
      </c>
      <c r="H16" s="50">
        <f t="shared" si="3"/>
        <v>12092</v>
      </c>
      <c r="I16" s="50">
        <f t="shared" si="3"/>
        <v>10481</v>
      </c>
      <c r="J16" s="50">
        <f t="shared" si="3"/>
        <v>2523</v>
      </c>
      <c r="K16" s="50">
        <f t="shared" si="3"/>
        <v>7954</v>
      </c>
      <c r="L16" s="50">
        <f t="shared" si="3"/>
        <v>11735</v>
      </c>
      <c r="M16" s="50">
        <f t="shared" si="3"/>
        <v>10535</v>
      </c>
      <c r="N16" s="50">
        <f t="shared" si="3"/>
        <v>6508</v>
      </c>
      <c r="O16" s="50">
        <f t="shared" si="3"/>
        <v>15059</v>
      </c>
      <c r="P16" s="50">
        <f t="shared" si="3"/>
        <v>18310</v>
      </c>
      <c r="Q16" s="50">
        <f t="shared" si="3"/>
        <v>15970</v>
      </c>
      <c r="R16" s="50">
        <f t="shared" si="3"/>
        <v>1370</v>
      </c>
      <c r="S16" s="50">
        <f t="shared" si="3"/>
        <v>-187</v>
      </c>
      <c r="T16" s="50">
        <f t="shared" si="3"/>
        <v>3532</v>
      </c>
      <c r="U16" s="50">
        <f t="shared" si="3"/>
        <v>-513</v>
      </c>
      <c r="V16" s="50">
        <f t="shared" si="3"/>
        <v>-2241</v>
      </c>
      <c r="W16" s="50">
        <f t="shared" si="3"/>
        <v>-2965</v>
      </c>
      <c r="X16" s="50">
        <f t="shared" si="3"/>
        <v>6117</v>
      </c>
      <c r="Y16" s="50">
        <f t="shared" si="3"/>
        <v>4713</v>
      </c>
      <c r="Z16" s="50">
        <f t="shared" si="3"/>
        <v>2992</v>
      </c>
      <c r="AA16" s="50">
        <f t="shared" si="3"/>
        <v>6886</v>
      </c>
      <c r="AB16" s="50">
        <f t="shared" si="3"/>
        <v>14262</v>
      </c>
      <c r="AC16" s="50">
        <f t="shared" si="3"/>
        <v>7821</v>
      </c>
    </row>
    <row r="17" spans="1:29" s="25" customFormat="1" x14ac:dyDescent="0.25">
      <c r="A17" s="22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</row>
    <row r="18" spans="1:29" x14ac:dyDescent="0.25">
      <c r="A18" s="8" t="s">
        <v>97</v>
      </c>
      <c r="B18" s="52">
        <v>117</v>
      </c>
      <c r="C18" s="52">
        <v>112</v>
      </c>
      <c r="D18" s="52">
        <v>117</v>
      </c>
      <c r="E18" s="52">
        <v>114</v>
      </c>
      <c r="F18" s="52">
        <v>93</v>
      </c>
      <c r="G18" s="52">
        <v>129</v>
      </c>
      <c r="H18" s="52">
        <v>180</v>
      </c>
      <c r="I18" s="52">
        <v>54</v>
      </c>
      <c r="J18" s="52">
        <v>136</v>
      </c>
      <c r="K18" s="52">
        <v>121</v>
      </c>
      <c r="L18" s="52">
        <v>197</v>
      </c>
      <c r="M18" s="52">
        <v>3643</v>
      </c>
      <c r="N18" s="52">
        <v>132</v>
      </c>
      <c r="O18" s="52">
        <v>136</v>
      </c>
      <c r="P18" s="52">
        <v>-1</v>
      </c>
      <c r="Q18" s="52">
        <v>137</v>
      </c>
      <c r="R18" s="52">
        <v>179</v>
      </c>
      <c r="S18" s="52">
        <v>94</v>
      </c>
      <c r="T18" s="52">
        <v>207</v>
      </c>
      <c r="U18" s="52">
        <v>171</v>
      </c>
      <c r="V18" s="52">
        <v>15</v>
      </c>
      <c r="W18" s="52">
        <v>140</v>
      </c>
      <c r="X18" s="52">
        <v>87</v>
      </c>
      <c r="Y18" s="52">
        <v>77</v>
      </c>
      <c r="Z18" s="52">
        <v>77</v>
      </c>
      <c r="AA18" s="52">
        <v>90</v>
      </c>
      <c r="AB18" s="52">
        <v>87</v>
      </c>
      <c r="AC18" s="52">
        <v>185</v>
      </c>
    </row>
    <row r="19" spans="1:29" x14ac:dyDescent="0.25">
      <c r="A19" s="6" t="s">
        <v>98</v>
      </c>
      <c r="B19" s="49">
        <v>-1902</v>
      </c>
      <c r="C19" s="49">
        <v>-1868</v>
      </c>
      <c r="D19" s="49">
        <v>-1906</v>
      </c>
      <c r="E19" s="49">
        <v>-1899</v>
      </c>
      <c r="F19" s="49">
        <v>-2154</v>
      </c>
      <c r="G19" s="49">
        <v>-2222</v>
      </c>
      <c r="H19" s="49">
        <v>-2107</v>
      </c>
      <c r="I19" s="49">
        <v>-4063</v>
      </c>
      <c r="J19" s="49">
        <v>-1954</v>
      </c>
      <c r="K19" s="49">
        <v>-2136</v>
      </c>
      <c r="L19" s="49">
        <v>-2484</v>
      </c>
      <c r="M19" s="49">
        <v>-2855</v>
      </c>
      <c r="N19" s="49">
        <v>-5442</v>
      </c>
      <c r="O19" s="49">
        <v>-5409</v>
      </c>
      <c r="P19" s="49">
        <v>-5457</v>
      </c>
      <c r="Q19" s="49">
        <v>-6734</v>
      </c>
      <c r="R19" s="49">
        <v>-6610</v>
      </c>
      <c r="S19" s="49">
        <v>-5837</v>
      </c>
      <c r="T19" s="49">
        <v>-5930</v>
      </c>
      <c r="U19" s="49">
        <v>-5662</v>
      </c>
      <c r="V19" s="49">
        <v>-6454</v>
      </c>
      <c r="W19" s="49">
        <v>-6587</v>
      </c>
      <c r="X19" s="49">
        <v>-5764</v>
      </c>
      <c r="Y19" s="49">
        <v>-6893</v>
      </c>
      <c r="Z19" s="49">
        <v>-6140</v>
      </c>
      <c r="AA19" s="49">
        <v>-6188</v>
      </c>
      <c r="AB19" s="49">
        <v>-6432</v>
      </c>
      <c r="AC19" s="49">
        <v>-6414</v>
      </c>
    </row>
    <row r="20" spans="1:29" x14ac:dyDescent="0.25">
      <c r="A20" s="8" t="s">
        <v>101</v>
      </c>
      <c r="B20" s="52">
        <v>1702</v>
      </c>
      <c r="C20" s="52">
        <v>987</v>
      </c>
      <c r="D20" s="52">
        <v>-2984</v>
      </c>
      <c r="E20" s="52">
        <v>741</v>
      </c>
      <c r="F20" s="52">
        <v>2583</v>
      </c>
      <c r="G20" s="52">
        <v>-466</v>
      </c>
      <c r="H20" s="52">
        <v>-650</v>
      </c>
      <c r="I20" s="52">
        <v>433</v>
      </c>
      <c r="J20" s="52">
        <v>268</v>
      </c>
      <c r="K20" s="52">
        <v>-1870</v>
      </c>
      <c r="L20" s="52">
        <v>-1363</v>
      </c>
      <c r="M20" s="52">
        <v>-3063</v>
      </c>
      <c r="N20" s="52">
        <v>5158</v>
      </c>
      <c r="O20" s="52">
        <v>2599</v>
      </c>
      <c r="P20" s="52">
        <v>-8905</v>
      </c>
      <c r="Q20" s="52">
        <v>3412</v>
      </c>
      <c r="R20" s="52">
        <v>-12989</v>
      </c>
      <c r="S20" s="52">
        <v>-10758</v>
      </c>
      <c r="T20" s="52">
        <v>-3585</v>
      </c>
      <c r="U20" s="52">
        <v>-1591</v>
      </c>
      <c r="V20" s="52">
        <v>-12278</v>
      </c>
      <c r="W20" s="52">
        <v>-10014</v>
      </c>
      <c r="X20" s="52">
        <v>-25761</v>
      </c>
      <c r="Y20" s="52">
        <v>13086</v>
      </c>
      <c r="Z20" s="52">
        <v>28341</v>
      </c>
      <c r="AA20" s="52">
        <v>-12208</v>
      </c>
      <c r="AB20" s="52">
        <v>-12913</v>
      </c>
      <c r="AC20" s="52">
        <v>13358</v>
      </c>
    </row>
    <row r="21" spans="1:29" x14ac:dyDescent="0.25">
      <c r="A21" s="6" t="s">
        <v>103</v>
      </c>
      <c r="B21" s="49">
        <v>0</v>
      </c>
      <c r="C21" s="49">
        <v>0</v>
      </c>
      <c r="D21" s="49">
        <v>0</v>
      </c>
      <c r="E21" s="49">
        <v>-233</v>
      </c>
      <c r="F21" s="49">
        <v>0</v>
      </c>
      <c r="G21" s="49">
        <v>0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-482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</row>
    <row r="22" spans="1:29" s="25" customFormat="1" x14ac:dyDescent="0.25">
      <c r="A22" s="22" t="s">
        <v>1731</v>
      </c>
      <c r="B22" s="50">
        <f t="shared" ref="B22:AC22" si="4">+SUM(B14,B18:B21)</f>
        <v>-774</v>
      </c>
      <c r="C22" s="50">
        <f t="shared" si="4"/>
        <v>2125</v>
      </c>
      <c r="D22" s="50">
        <f t="shared" si="4"/>
        <v>3412</v>
      </c>
      <c r="E22" s="50">
        <f t="shared" si="4"/>
        <v>4979</v>
      </c>
      <c r="F22" s="50">
        <f t="shared" si="4"/>
        <v>-1891</v>
      </c>
      <c r="G22" s="50">
        <f t="shared" si="4"/>
        <v>3432</v>
      </c>
      <c r="H22" s="50">
        <f t="shared" si="4"/>
        <v>4790</v>
      </c>
      <c r="I22" s="50">
        <f t="shared" si="4"/>
        <v>1491</v>
      </c>
      <c r="J22" s="50">
        <f t="shared" si="4"/>
        <v>-4475</v>
      </c>
      <c r="K22" s="50">
        <f t="shared" si="4"/>
        <v>-1433</v>
      </c>
      <c r="L22" s="50">
        <f t="shared" si="4"/>
        <v>2293</v>
      </c>
      <c r="M22" s="50">
        <f t="shared" si="4"/>
        <v>1086</v>
      </c>
      <c r="N22" s="50">
        <f t="shared" si="4"/>
        <v>-3914</v>
      </c>
      <c r="O22" s="50">
        <f t="shared" si="4"/>
        <v>1806</v>
      </c>
      <c r="P22" s="50">
        <f t="shared" si="4"/>
        <v>-7285</v>
      </c>
      <c r="Q22" s="50">
        <f t="shared" si="4"/>
        <v>-2410</v>
      </c>
      <c r="R22" s="50">
        <f t="shared" si="4"/>
        <v>-25421</v>
      </c>
      <c r="S22" s="50">
        <f t="shared" si="4"/>
        <v>-23898</v>
      </c>
      <c r="T22" s="50">
        <f t="shared" si="4"/>
        <v>-13015</v>
      </c>
      <c r="U22" s="50">
        <f t="shared" si="4"/>
        <v>-17441</v>
      </c>
      <c r="V22" s="50">
        <f t="shared" si="4"/>
        <v>-27068</v>
      </c>
      <c r="W22" s="50">
        <f t="shared" si="4"/>
        <v>-23438</v>
      </c>
      <c r="X22" s="50">
        <f t="shared" si="4"/>
        <v>-33781</v>
      </c>
      <c r="Y22" s="50">
        <f t="shared" si="4"/>
        <v>4309</v>
      </c>
      <c r="Z22" s="50">
        <f t="shared" si="4"/>
        <v>19923</v>
      </c>
      <c r="AA22" s="50">
        <f t="shared" si="4"/>
        <v>-16597</v>
      </c>
      <c r="AB22" s="50">
        <f t="shared" si="4"/>
        <v>-10111</v>
      </c>
      <c r="AC22" s="50">
        <f t="shared" si="4"/>
        <v>9871</v>
      </c>
    </row>
    <row r="23" spans="1:29" x14ac:dyDescent="0.25">
      <c r="A23" s="6" t="s">
        <v>1723</v>
      </c>
      <c r="B23" s="49">
        <v>0</v>
      </c>
      <c r="C23" s="49">
        <v>0</v>
      </c>
      <c r="D23" s="49">
        <v>-495</v>
      </c>
      <c r="E23" s="49">
        <v>-2205</v>
      </c>
      <c r="F23" s="49">
        <v>0</v>
      </c>
      <c r="G23" s="49">
        <v>-60</v>
      </c>
      <c r="H23" s="49">
        <v>50</v>
      </c>
      <c r="I23" s="49">
        <v>-43</v>
      </c>
      <c r="J23" s="49">
        <v>-120</v>
      </c>
      <c r="K23" s="49">
        <v>-180</v>
      </c>
      <c r="L23" s="49">
        <v>-180</v>
      </c>
      <c r="M23" s="49">
        <v>480</v>
      </c>
      <c r="N23" s="49">
        <v>40</v>
      </c>
      <c r="O23" s="49">
        <v>-122</v>
      </c>
      <c r="P23" s="49">
        <v>-468</v>
      </c>
      <c r="Q23" s="49">
        <v>590</v>
      </c>
      <c r="R23" s="49">
        <v>861</v>
      </c>
      <c r="S23" s="49">
        <v>4347</v>
      </c>
      <c r="T23" s="49">
        <v>0</v>
      </c>
      <c r="U23" s="49">
        <v>0</v>
      </c>
      <c r="V23" s="49">
        <v>7985</v>
      </c>
      <c r="W23" s="49">
        <v>6914</v>
      </c>
      <c r="X23" s="49">
        <v>9744</v>
      </c>
      <c r="Y23" s="49">
        <v>-951</v>
      </c>
      <c r="Z23" s="49">
        <v>0</v>
      </c>
      <c r="AA23" s="49">
        <v>0</v>
      </c>
      <c r="AB23" s="49">
        <v>13197</v>
      </c>
      <c r="AC23" s="49">
        <v>-17486</v>
      </c>
    </row>
    <row r="24" spans="1:29" s="25" customFormat="1" x14ac:dyDescent="0.25">
      <c r="A24" s="22" t="s">
        <v>114</v>
      </c>
      <c r="B24" s="50">
        <f t="shared" ref="B24:AC24" si="5">+SUM(B22:B23)</f>
        <v>-774</v>
      </c>
      <c r="C24" s="50">
        <f t="shared" si="5"/>
        <v>2125</v>
      </c>
      <c r="D24" s="50">
        <f t="shared" si="5"/>
        <v>2917</v>
      </c>
      <c r="E24" s="50">
        <f t="shared" si="5"/>
        <v>2774</v>
      </c>
      <c r="F24" s="50">
        <f t="shared" si="5"/>
        <v>-1891</v>
      </c>
      <c r="G24" s="50">
        <f t="shared" si="5"/>
        <v>3372</v>
      </c>
      <c r="H24" s="50">
        <f t="shared" si="5"/>
        <v>4840</v>
      </c>
      <c r="I24" s="50">
        <f t="shared" si="5"/>
        <v>1448</v>
      </c>
      <c r="J24" s="50">
        <f t="shared" si="5"/>
        <v>-4595</v>
      </c>
      <c r="K24" s="50">
        <f t="shared" si="5"/>
        <v>-1613</v>
      </c>
      <c r="L24" s="50">
        <f t="shared" si="5"/>
        <v>2113</v>
      </c>
      <c r="M24" s="50">
        <f t="shared" si="5"/>
        <v>1566</v>
      </c>
      <c r="N24" s="50">
        <f t="shared" si="5"/>
        <v>-3874</v>
      </c>
      <c r="O24" s="50">
        <f t="shared" si="5"/>
        <v>1684</v>
      </c>
      <c r="P24" s="50">
        <f t="shared" si="5"/>
        <v>-7753</v>
      </c>
      <c r="Q24" s="50">
        <f t="shared" si="5"/>
        <v>-1820</v>
      </c>
      <c r="R24" s="50">
        <f t="shared" si="5"/>
        <v>-24560</v>
      </c>
      <c r="S24" s="50">
        <f t="shared" si="5"/>
        <v>-19551</v>
      </c>
      <c r="T24" s="50">
        <f t="shared" si="5"/>
        <v>-13015</v>
      </c>
      <c r="U24" s="50">
        <f t="shared" si="5"/>
        <v>-17441</v>
      </c>
      <c r="V24" s="50">
        <f t="shared" si="5"/>
        <v>-19083</v>
      </c>
      <c r="W24" s="50">
        <f t="shared" si="5"/>
        <v>-16524</v>
      </c>
      <c r="X24" s="50">
        <f t="shared" si="5"/>
        <v>-24037</v>
      </c>
      <c r="Y24" s="50">
        <f t="shared" si="5"/>
        <v>3358</v>
      </c>
      <c r="Z24" s="50">
        <f t="shared" si="5"/>
        <v>19923</v>
      </c>
      <c r="AA24" s="50">
        <f t="shared" si="5"/>
        <v>-16597</v>
      </c>
      <c r="AB24" s="50">
        <f t="shared" si="5"/>
        <v>3086</v>
      </c>
      <c r="AC24" s="50">
        <f t="shared" si="5"/>
        <v>-7615</v>
      </c>
    </row>
    <row r="26" spans="1:29" ht="15.75" x14ac:dyDescent="0.25">
      <c r="A26" s="2" t="s">
        <v>6</v>
      </c>
    </row>
    <row r="27" spans="1:29" x14ac:dyDescent="0.25">
      <c r="A27" s="3" t="s">
        <v>7</v>
      </c>
    </row>
    <row r="28" spans="1:29" x14ac:dyDescent="0.25">
      <c r="A28" s="4" t="s">
        <v>11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 spans="1:29" x14ac:dyDescent="0.25">
      <c r="A29" s="4" t="s">
        <v>12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 spans="1:29" x14ac:dyDescent="0.25">
      <c r="A30" s="6" t="s">
        <v>13</v>
      </c>
      <c r="B30" s="49">
        <v>5267</v>
      </c>
      <c r="C30" s="49">
        <v>3253</v>
      </c>
      <c r="D30" s="49">
        <v>2052</v>
      </c>
      <c r="E30" s="49">
        <v>2392</v>
      </c>
      <c r="F30" s="49">
        <v>3751</v>
      </c>
      <c r="G30" s="49">
        <v>4938</v>
      </c>
      <c r="H30" s="49">
        <v>2130</v>
      </c>
      <c r="I30" s="49">
        <v>14577</v>
      </c>
      <c r="J30" s="49">
        <v>2462</v>
      </c>
      <c r="K30" s="49">
        <v>6432</v>
      </c>
      <c r="L30" s="49">
        <v>4147</v>
      </c>
      <c r="M30" s="49">
        <v>3308</v>
      </c>
      <c r="N30" s="49">
        <v>3992</v>
      </c>
      <c r="O30" s="49">
        <v>5244</v>
      </c>
      <c r="P30" s="49">
        <v>10518</v>
      </c>
      <c r="Q30" s="49">
        <v>53748</v>
      </c>
      <c r="R30" s="49">
        <v>26243</v>
      </c>
      <c r="S30" s="49">
        <v>19810</v>
      </c>
      <c r="T30" s="49">
        <v>15888</v>
      </c>
      <c r="U30" s="49">
        <v>18866</v>
      </c>
      <c r="V30" s="49">
        <v>13086</v>
      </c>
      <c r="W30" s="49">
        <v>10261</v>
      </c>
      <c r="X30" s="49">
        <v>12388</v>
      </c>
      <c r="Y30" s="49">
        <v>12860</v>
      </c>
      <c r="Z30" s="49">
        <v>8359</v>
      </c>
      <c r="AA30" s="49">
        <v>6477</v>
      </c>
      <c r="AB30" s="49">
        <v>10650</v>
      </c>
      <c r="AC30" s="49">
        <v>10785</v>
      </c>
    </row>
    <row r="31" spans="1:29" x14ac:dyDescent="0.25">
      <c r="A31" s="8" t="s">
        <v>14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204</v>
      </c>
      <c r="R31" s="52">
        <v>0</v>
      </c>
      <c r="S31" s="52">
        <v>0</v>
      </c>
      <c r="T31" s="52">
        <v>0</v>
      </c>
      <c r="U31" s="52">
        <v>0</v>
      </c>
      <c r="V31" s="49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</row>
    <row r="32" spans="1:29" x14ac:dyDescent="0.25">
      <c r="A32" s="6" t="s">
        <v>15</v>
      </c>
      <c r="B32" s="49">
        <v>12638</v>
      </c>
      <c r="C32" s="49">
        <v>16272</v>
      </c>
      <c r="D32" s="49">
        <v>19133</v>
      </c>
      <c r="E32" s="49">
        <v>20659</v>
      </c>
      <c r="F32" s="49">
        <v>17817</v>
      </c>
      <c r="G32" s="49">
        <v>21108</v>
      </c>
      <c r="H32" s="49">
        <v>21414</v>
      </c>
      <c r="I32" s="49">
        <v>22966</v>
      </c>
      <c r="J32" s="49">
        <v>18079</v>
      </c>
      <c r="K32" s="49">
        <v>20671</v>
      </c>
      <c r="L32" s="49">
        <v>23062</v>
      </c>
      <c r="M32" s="49">
        <v>30940</v>
      </c>
      <c r="N32" s="49">
        <v>20212</v>
      </c>
      <c r="O32" s="49">
        <v>22509</v>
      </c>
      <c r="P32" s="49">
        <v>22815</v>
      </c>
      <c r="Q32" s="49">
        <v>14939</v>
      </c>
      <c r="R32" s="49">
        <v>14645</v>
      </c>
      <c r="S32" s="49">
        <v>21746</v>
      </c>
      <c r="T32" s="49">
        <v>27823</v>
      </c>
      <c r="U32" s="49">
        <v>18907</v>
      </c>
      <c r="V32" s="49">
        <v>13823</v>
      </c>
      <c r="W32" s="49">
        <v>11753</v>
      </c>
      <c r="X32" s="49">
        <v>13910</v>
      </c>
      <c r="Y32" s="49">
        <v>12879</v>
      </c>
      <c r="Z32" s="49">
        <v>15776</v>
      </c>
      <c r="AA32" s="49">
        <v>24685</v>
      </c>
      <c r="AB32" s="49">
        <v>29278</v>
      </c>
      <c r="AC32" s="49">
        <v>12228</v>
      </c>
    </row>
    <row r="33" spans="1:29" x14ac:dyDescent="0.25">
      <c r="A33" s="8" t="s">
        <v>20</v>
      </c>
      <c r="B33" s="52">
        <v>1901</v>
      </c>
      <c r="C33" s="52">
        <v>1913</v>
      </c>
      <c r="D33" s="52">
        <v>1991</v>
      </c>
      <c r="E33" s="52">
        <v>1873</v>
      </c>
      <c r="F33" s="52">
        <v>1719</v>
      </c>
      <c r="G33" s="52">
        <v>1777</v>
      </c>
      <c r="H33" s="52">
        <v>2042</v>
      </c>
      <c r="I33" s="52">
        <v>1878</v>
      </c>
      <c r="J33" s="52">
        <v>1791</v>
      </c>
      <c r="K33" s="52">
        <v>2009</v>
      </c>
      <c r="L33" s="52">
        <v>2002</v>
      </c>
      <c r="M33" s="52">
        <v>2065</v>
      </c>
      <c r="N33" s="52">
        <v>2015</v>
      </c>
      <c r="O33" s="52">
        <v>2179</v>
      </c>
      <c r="P33" s="52">
        <v>2216</v>
      </c>
      <c r="Q33" s="52">
        <v>2222</v>
      </c>
      <c r="R33" s="52">
        <v>2426</v>
      </c>
      <c r="S33" s="52">
        <v>2375</v>
      </c>
      <c r="T33" s="52">
        <v>2342</v>
      </c>
      <c r="U33" s="52">
        <v>2226</v>
      </c>
      <c r="V33" s="49">
        <v>2118</v>
      </c>
      <c r="W33" s="52">
        <v>1989</v>
      </c>
      <c r="X33" s="52">
        <v>2336</v>
      </c>
      <c r="Y33" s="52">
        <v>2736</v>
      </c>
      <c r="Z33" s="52">
        <v>2868</v>
      </c>
      <c r="AA33" s="52">
        <v>2808</v>
      </c>
      <c r="AB33" s="52">
        <v>3586</v>
      </c>
      <c r="AC33" s="52">
        <v>3419</v>
      </c>
    </row>
    <row r="34" spans="1:29" x14ac:dyDescent="0.25">
      <c r="A34" s="6" t="s">
        <v>23</v>
      </c>
      <c r="B34" s="49">
        <v>9829</v>
      </c>
      <c r="C34" s="49">
        <v>8938</v>
      </c>
      <c r="D34" s="49">
        <v>8095</v>
      </c>
      <c r="E34" s="49">
        <v>793</v>
      </c>
      <c r="F34" s="49">
        <v>3466</v>
      </c>
      <c r="G34" s="49">
        <v>6356</v>
      </c>
      <c r="H34" s="49">
        <v>7502</v>
      </c>
      <c r="I34" s="49">
        <v>5818</v>
      </c>
      <c r="J34" s="49">
        <v>5034</v>
      </c>
      <c r="K34" s="49">
        <v>5118</v>
      </c>
      <c r="L34" s="49">
        <v>4694</v>
      </c>
      <c r="M34" s="49">
        <v>4220</v>
      </c>
      <c r="N34" s="49">
        <v>6207</v>
      </c>
      <c r="O34" s="49">
        <v>5808</v>
      </c>
      <c r="P34" s="49">
        <v>4933</v>
      </c>
      <c r="Q34" s="49">
        <v>3926</v>
      </c>
      <c r="R34" s="49">
        <v>2810</v>
      </c>
      <c r="S34" s="49">
        <v>3469</v>
      </c>
      <c r="T34" s="49">
        <v>3765</v>
      </c>
      <c r="U34" s="49">
        <v>3004</v>
      </c>
      <c r="V34" s="49">
        <v>5028</v>
      </c>
      <c r="W34" s="49">
        <v>5700</v>
      </c>
      <c r="X34" s="49">
        <v>6275</v>
      </c>
      <c r="Y34" s="49">
        <v>6387</v>
      </c>
      <c r="Z34" s="49">
        <v>6645</v>
      </c>
      <c r="AA34" s="49">
        <v>8215</v>
      </c>
      <c r="AB34" s="49">
        <v>7739</v>
      </c>
      <c r="AC34" s="49">
        <v>7931</v>
      </c>
    </row>
    <row r="35" spans="1:29" x14ac:dyDescent="0.25">
      <c r="A35" s="4" t="s">
        <v>28</v>
      </c>
      <c r="B35" s="48">
        <f>+SUM(B30:B34)</f>
        <v>29635</v>
      </c>
      <c r="C35" s="48">
        <f t="shared" ref="C35:AC35" si="6">+SUM(C30:C34)</f>
        <v>30376</v>
      </c>
      <c r="D35" s="48">
        <f t="shared" si="6"/>
        <v>31271</v>
      </c>
      <c r="E35" s="48">
        <f t="shared" si="6"/>
        <v>25717</v>
      </c>
      <c r="F35" s="48">
        <f t="shared" si="6"/>
        <v>26753</v>
      </c>
      <c r="G35" s="48">
        <f t="shared" si="6"/>
        <v>34179</v>
      </c>
      <c r="H35" s="48">
        <f t="shared" si="6"/>
        <v>33088</v>
      </c>
      <c r="I35" s="48">
        <f t="shared" si="6"/>
        <v>45239</v>
      </c>
      <c r="J35" s="48">
        <f t="shared" si="6"/>
        <v>27366</v>
      </c>
      <c r="K35" s="48">
        <f t="shared" si="6"/>
        <v>34230</v>
      </c>
      <c r="L35" s="48">
        <f t="shared" si="6"/>
        <v>33905</v>
      </c>
      <c r="M35" s="48">
        <f t="shared" si="6"/>
        <v>40533</v>
      </c>
      <c r="N35" s="48">
        <f t="shared" si="6"/>
        <v>32426</v>
      </c>
      <c r="O35" s="48">
        <f t="shared" si="6"/>
        <v>35740</v>
      </c>
      <c r="P35" s="48">
        <f t="shared" si="6"/>
        <v>40482</v>
      </c>
      <c r="Q35" s="48">
        <f t="shared" si="6"/>
        <v>75039</v>
      </c>
      <c r="R35" s="48">
        <f t="shared" si="6"/>
        <v>46124</v>
      </c>
      <c r="S35" s="48">
        <f t="shared" si="6"/>
        <v>47400</v>
      </c>
      <c r="T35" s="48">
        <f t="shared" si="6"/>
        <v>49818</v>
      </c>
      <c r="U35" s="48">
        <f t="shared" si="6"/>
        <v>43003</v>
      </c>
      <c r="V35" s="48">
        <f t="shared" si="6"/>
        <v>34055</v>
      </c>
      <c r="W35" s="48">
        <f t="shared" si="6"/>
        <v>29703</v>
      </c>
      <c r="X35" s="48">
        <f t="shared" si="6"/>
        <v>34909</v>
      </c>
      <c r="Y35" s="48">
        <f t="shared" si="6"/>
        <v>34862</v>
      </c>
      <c r="Z35" s="48">
        <f t="shared" si="6"/>
        <v>33648</v>
      </c>
      <c r="AA35" s="48">
        <f t="shared" si="6"/>
        <v>42185</v>
      </c>
      <c r="AB35" s="48">
        <f t="shared" si="6"/>
        <v>51253</v>
      </c>
      <c r="AC35" s="48">
        <f t="shared" si="6"/>
        <v>34363</v>
      </c>
    </row>
    <row r="36" spans="1:29" x14ac:dyDescent="0.25">
      <c r="A36" s="4" t="s">
        <v>29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 spans="1:29" x14ac:dyDescent="0.25">
      <c r="A37" s="6" t="s">
        <v>30</v>
      </c>
      <c r="B37" s="49">
        <v>12806</v>
      </c>
      <c r="C37" s="49">
        <v>12806</v>
      </c>
      <c r="D37" s="49">
        <v>12806</v>
      </c>
      <c r="E37" s="49">
        <v>12806</v>
      </c>
      <c r="F37" s="52">
        <v>12806</v>
      </c>
      <c r="G37" s="52">
        <v>12806</v>
      </c>
      <c r="H37" s="52">
        <v>12806</v>
      </c>
      <c r="I37" s="52">
        <v>12806</v>
      </c>
      <c r="J37" s="52">
        <v>12806</v>
      </c>
      <c r="K37" s="52">
        <v>12806</v>
      </c>
      <c r="L37" s="52">
        <v>12806</v>
      </c>
      <c r="M37" s="52">
        <v>12806</v>
      </c>
      <c r="N37" s="52">
        <v>12806</v>
      </c>
      <c r="O37" s="52">
        <v>12806</v>
      </c>
      <c r="P37" s="52">
        <v>12806</v>
      </c>
      <c r="Q37" s="52">
        <v>12806</v>
      </c>
      <c r="R37" s="52">
        <v>12806</v>
      </c>
      <c r="S37" s="52">
        <v>12806</v>
      </c>
      <c r="T37" s="52">
        <v>12806</v>
      </c>
      <c r="U37" s="52">
        <v>12806</v>
      </c>
      <c r="V37" s="49">
        <v>12806</v>
      </c>
      <c r="W37" s="52">
        <v>26443</v>
      </c>
      <c r="X37" s="52">
        <v>63149</v>
      </c>
      <c r="Y37" s="52">
        <v>63149</v>
      </c>
      <c r="Z37" s="52">
        <v>49275</v>
      </c>
      <c r="AA37" s="52">
        <v>49275</v>
      </c>
      <c r="AB37" s="52">
        <v>49275</v>
      </c>
      <c r="AC37" s="52">
        <v>41602</v>
      </c>
    </row>
    <row r="38" spans="1:29" x14ac:dyDescent="0.25">
      <c r="A38" s="8" t="s">
        <v>15</v>
      </c>
      <c r="B38" s="52">
        <v>5009</v>
      </c>
      <c r="C38" s="52">
        <v>3655</v>
      </c>
      <c r="D38" s="52">
        <v>3858</v>
      </c>
      <c r="E38" s="52">
        <v>3628</v>
      </c>
      <c r="F38" s="49">
        <v>7573</v>
      </c>
      <c r="G38" s="49">
        <v>8497</v>
      </c>
      <c r="H38" s="49">
        <v>8815</v>
      </c>
      <c r="I38" s="49">
        <v>8833</v>
      </c>
      <c r="J38" s="49">
        <v>10131</v>
      </c>
      <c r="K38" s="49">
        <v>11745</v>
      </c>
      <c r="L38" s="49">
        <v>11955</v>
      </c>
      <c r="M38" s="49">
        <v>6688</v>
      </c>
      <c r="N38" s="49">
        <v>6494</v>
      </c>
      <c r="O38" s="49">
        <v>6444</v>
      </c>
      <c r="P38" s="49">
        <v>6491</v>
      </c>
      <c r="Q38" s="49">
        <v>17089</v>
      </c>
      <c r="R38" s="49">
        <v>18982</v>
      </c>
      <c r="S38" s="49">
        <v>19352</v>
      </c>
      <c r="T38" s="49">
        <v>20450</v>
      </c>
      <c r="U38" s="49">
        <v>20144</v>
      </c>
      <c r="V38" s="49">
        <v>21124</v>
      </c>
      <c r="W38" s="49">
        <v>8393</v>
      </c>
      <c r="X38" s="49">
        <v>9055</v>
      </c>
      <c r="Y38" s="49">
        <v>9154</v>
      </c>
      <c r="Z38" s="49">
        <v>9022</v>
      </c>
      <c r="AA38" s="49">
        <v>9621</v>
      </c>
      <c r="AB38" s="49">
        <v>10164</v>
      </c>
      <c r="AC38" s="49">
        <v>10482</v>
      </c>
    </row>
    <row r="39" spans="1:29" x14ac:dyDescent="0.25">
      <c r="A39" s="6" t="s">
        <v>34</v>
      </c>
      <c r="B39" s="49">
        <v>163085</v>
      </c>
      <c r="C39" s="49">
        <v>167586</v>
      </c>
      <c r="D39" s="49">
        <v>172786</v>
      </c>
      <c r="E39" s="49">
        <v>178832</v>
      </c>
      <c r="F39" s="49">
        <v>182154</v>
      </c>
      <c r="G39" s="49">
        <v>183910</v>
      </c>
      <c r="H39" s="49">
        <v>187569</v>
      </c>
      <c r="I39" s="49">
        <v>194778</v>
      </c>
      <c r="J39" s="49">
        <v>200203</v>
      </c>
      <c r="K39" s="49">
        <v>206790</v>
      </c>
      <c r="L39" s="49">
        <v>209089</v>
      </c>
      <c r="M39" s="49">
        <v>207987</v>
      </c>
      <c r="N39" s="49">
        <v>382345</v>
      </c>
      <c r="O39" s="49">
        <v>376961</v>
      </c>
      <c r="P39" s="49">
        <v>372629</v>
      </c>
      <c r="Q39" s="49">
        <v>377119</v>
      </c>
      <c r="R39" s="49">
        <v>206742</v>
      </c>
      <c r="S39" s="49">
        <v>200641</v>
      </c>
      <c r="T39" s="49">
        <v>192076</v>
      </c>
      <c r="U39" s="49">
        <v>191827</v>
      </c>
      <c r="V39" s="49">
        <v>186036</v>
      </c>
      <c r="W39" s="49">
        <v>206503</v>
      </c>
      <c r="X39" s="49">
        <v>199660</v>
      </c>
      <c r="Y39" s="49">
        <v>201252</v>
      </c>
      <c r="Z39" s="49">
        <v>197379</v>
      </c>
      <c r="AA39" s="49">
        <v>191453</v>
      </c>
      <c r="AB39" s="49">
        <v>189013</v>
      </c>
      <c r="AC39" s="49">
        <v>179354</v>
      </c>
    </row>
    <row r="40" spans="1:29" x14ac:dyDescent="0.25">
      <c r="A40" s="8" t="s">
        <v>35</v>
      </c>
      <c r="B40" s="52">
        <v>2213</v>
      </c>
      <c r="C40" s="52">
        <v>8203</v>
      </c>
      <c r="D40" s="52">
        <v>7960</v>
      </c>
      <c r="E40" s="52">
        <v>8010</v>
      </c>
      <c r="F40" s="52">
        <v>7774</v>
      </c>
      <c r="G40" s="52">
        <v>7611</v>
      </c>
      <c r="H40" s="52">
        <v>7395</v>
      </c>
      <c r="I40" s="52">
        <v>10931</v>
      </c>
      <c r="J40" s="52">
        <v>15160</v>
      </c>
      <c r="K40" s="52">
        <v>14376</v>
      </c>
      <c r="L40" s="52">
        <v>13750</v>
      </c>
      <c r="M40" s="52">
        <v>13231</v>
      </c>
      <c r="N40" s="52">
        <v>13007</v>
      </c>
      <c r="O40" s="52">
        <v>12222</v>
      </c>
      <c r="P40" s="52">
        <v>12624</v>
      </c>
      <c r="Q40" s="52">
        <v>42490</v>
      </c>
      <c r="R40" s="52">
        <v>3045</v>
      </c>
      <c r="S40" s="52">
        <v>2937</v>
      </c>
      <c r="T40" s="52">
        <v>3090</v>
      </c>
      <c r="U40" s="52">
        <v>3044</v>
      </c>
      <c r="V40" s="49">
        <v>3212</v>
      </c>
      <c r="W40" s="52">
        <v>3057</v>
      </c>
      <c r="X40" s="52">
        <v>2742</v>
      </c>
      <c r="Y40" s="52">
        <v>2009</v>
      </c>
      <c r="Z40" s="52">
        <v>1766</v>
      </c>
      <c r="AA40" s="52">
        <v>8657</v>
      </c>
      <c r="AB40" s="52">
        <v>8226</v>
      </c>
      <c r="AC40" s="52">
        <v>8776</v>
      </c>
    </row>
    <row r="41" spans="1:29" x14ac:dyDescent="0.25">
      <c r="A41" s="6" t="s">
        <v>36</v>
      </c>
      <c r="B41" s="49">
        <v>0</v>
      </c>
      <c r="C41" s="49">
        <v>0</v>
      </c>
      <c r="D41" s="49">
        <v>0</v>
      </c>
      <c r="E41" s="49">
        <v>0</v>
      </c>
      <c r="F41" s="52">
        <v>0</v>
      </c>
      <c r="G41" s="52">
        <v>0</v>
      </c>
      <c r="H41" s="52">
        <v>0</v>
      </c>
      <c r="I41" s="52">
        <v>0</v>
      </c>
      <c r="J41" s="49">
        <v>0</v>
      </c>
      <c r="K41" s="49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11867</v>
      </c>
      <c r="W41" s="49">
        <v>11850</v>
      </c>
      <c r="X41" s="49">
        <v>10766</v>
      </c>
      <c r="Y41" s="49">
        <v>8147</v>
      </c>
      <c r="Z41" s="49">
        <v>30546</v>
      </c>
      <c r="AA41" s="49">
        <v>30546</v>
      </c>
      <c r="AB41" s="49">
        <v>34740</v>
      </c>
      <c r="AC41" s="49">
        <v>36856</v>
      </c>
    </row>
    <row r="42" spans="1:29" x14ac:dyDescent="0.25">
      <c r="A42" s="6" t="s">
        <v>23</v>
      </c>
      <c r="B42" s="49">
        <v>0</v>
      </c>
      <c r="C42" s="49">
        <v>0</v>
      </c>
      <c r="D42" s="49">
        <v>0</v>
      </c>
      <c r="E42" s="49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49">
        <v>0</v>
      </c>
      <c r="O42" s="49">
        <v>0</v>
      </c>
      <c r="P42" s="49">
        <v>0</v>
      </c>
      <c r="Q42" s="49">
        <v>0</v>
      </c>
      <c r="R42" s="52">
        <v>182767</v>
      </c>
      <c r="S42" s="52">
        <v>180317</v>
      </c>
      <c r="T42" s="52">
        <v>138803</v>
      </c>
      <c r="U42" s="52">
        <v>135988</v>
      </c>
      <c r="V42" s="49">
        <v>133172</v>
      </c>
      <c r="W42" s="52">
        <v>131295</v>
      </c>
      <c r="X42" s="52">
        <v>127542</v>
      </c>
      <c r="Y42" s="52">
        <v>124726</v>
      </c>
      <c r="Z42" s="52">
        <v>113168</v>
      </c>
      <c r="AA42" s="52">
        <v>110452</v>
      </c>
      <c r="AB42" s="52">
        <v>103839</v>
      </c>
      <c r="AC42" s="52">
        <v>101186</v>
      </c>
    </row>
    <row r="43" spans="1:29" x14ac:dyDescent="0.25">
      <c r="A43" s="4" t="s">
        <v>38</v>
      </c>
      <c r="B43" s="48">
        <f>+SUM(B37:B42)</f>
        <v>183113</v>
      </c>
      <c r="C43" s="48">
        <f t="shared" ref="C43:AC43" si="7">+SUM(C37:C42)</f>
        <v>192250</v>
      </c>
      <c r="D43" s="48">
        <f t="shared" si="7"/>
        <v>197410</v>
      </c>
      <c r="E43" s="48">
        <f t="shared" si="7"/>
        <v>203276</v>
      </c>
      <c r="F43" s="48">
        <f t="shared" si="7"/>
        <v>210307</v>
      </c>
      <c r="G43" s="48">
        <f t="shared" si="7"/>
        <v>212824</v>
      </c>
      <c r="H43" s="48">
        <f t="shared" si="7"/>
        <v>216585</v>
      </c>
      <c r="I43" s="48">
        <f t="shared" si="7"/>
        <v>227348</v>
      </c>
      <c r="J43" s="48">
        <f t="shared" si="7"/>
        <v>238300</v>
      </c>
      <c r="K43" s="48">
        <f t="shared" si="7"/>
        <v>245717</v>
      </c>
      <c r="L43" s="48">
        <f t="shared" si="7"/>
        <v>247600</v>
      </c>
      <c r="M43" s="48">
        <f t="shared" si="7"/>
        <v>240712</v>
      </c>
      <c r="N43" s="48">
        <f t="shared" si="7"/>
        <v>414652</v>
      </c>
      <c r="O43" s="48">
        <f t="shared" si="7"/>
        <v>408433</v>
      </c>
      <c r="P43" s="48">
        <f t="shared" si="7"/>
        <v>404550</v>
      </c>
      <c r="Q43" s="48">
        <f t="shared" si="7"/>
        <v>449504</v>
      </c>
      <c r="R43" s="48">
        <f t="shared" si="7"/>
        <v>424342</v>
      </c>
      <c r="S43" s="48">
        <f t="shared" si="7"/>
        <v>416053</v>
      </c>
      <c r="T43" s="48">
        <f t="shared" si="7"/>
        <v>367225</v>
      </c>
      <c r="U43" s="48">
        <f t="shared" si="7"/>
        <v>363809</v>
      </c>
      <c r="V43" s="48">
        <f t="shared" si="7"/>
        <v>368217</v>
      </c>
      <c r="W43" s="48">
        <f t="shared" si="7"/>
        <v>387541</v>
      </c>
      <c r="X43" s="48">
        <f t="shared" si="7"/>
        <v>412914</v>
      </c>
      <c r="Y43" s="48">
        <f t="shared" si="7"/>
        <v>408437</v>
      </c>
      <c r="Z43" s="48">
        <f t="shared" si="7"/>
        <v>401156</v>
      </c>
      <c r="AA43" s="48">
        <f t="shared" si="7"/>
        <v>400004</v>
      </c>
      <c r="AB43" s="48">
        <f t="shared" si="7"/>
        <v>395257</v>
      </c>
      <c r="AC43" s="48">
        <f t="shared" si="7"/>
        <v>378256</v>
      </c>
    </row>
    <row r="44" spans="1:29" x14ac:dyDescent="0.25">
      <c r="A44" s="4" t="s">
        <v>39</v>
      </c>
      <c r="B44" s="48">
        <f>+B35+B43</f>
        <v>212748</v>
      </c>
      <c r="C44" s="48">
        <f t="shared" ref="C44:AC44" si="8">+C35+C43</f>
        <v>222626</v>
      </c>
      <c r="D44" s="48">
        <f t="shared" si="8"/>
        <v>228681</v>
      </c>
      <c r="E44" s="48">
        <f t="shared" si="8"/>
        <v>228993</v>
      </c>
      <c r="F44" s="48">
        <f t="shared" si="8"/>
        <v>237060</v>
      </c>
      <c r="G44" s="48">
        <f t="shared" si="8"/>
        <v>247003</v>
      </c>
      <c r="H44" s="48">
        <f t="shared" si="8"/>
        <v>249673</v>
      </c>
      <c r="I44" s="48">
        <f t="shared" si="8"/>
        <v>272587</v>
      </c>
      <c r="J44" s="48">
        <f t="shared" si="8"/>
        <v>265666</v>
      </c>
      <c r="K44" s="48">
        <f t="shared" si="8"/>
        <v>279947</v>
      </c>
      <c r="L44" s="48">
        <f t="shared" si="8"/>
        <v>281505</v>
      </c>
      <c r="M44" s="48">
        <f t="shared" si="8"/>
        <v>281245</v>
      </c>
      <c r="N44" s="48">
        <f t="shared" si="8"/>
        <v>447078</v>
      </c>
      <c r="O44" s="48">
        <f t="shared" si="8"/>
        <v>444173</v>
      </c>
      <c r="P44" s="48">
        <f t="shared" si="8"/>
        <v>445032</v>
      </c>
      <c r="Q44" s="48">
        <f t="shared" si="8"/>
        <v>524543</v>
      </c>
      <c r="R44" s="48">
        <f t="shared" si="8"/>
        <v>470466</v>
      </c>
      <c r="S44" s="48">
        <f t="shared" si="8"/>
        <v>463453</v>
      </c>
      <c r="T44" s="48">
        <f t="shared" si="8"/>
        <v>417043</v>
      </c>
      <c r="U44" s="48">
        <f t="shared" si="8"/>
        <v>406812</v>
      </c>
      <c r="V44" s="48">
        <f t="shared" si="8"/>
        <v>402272</v>
      </c>
      <c r="W44" s="48">
        <f t="shared" si="8"/>
        <v>417244</v>
      </c>
      <c r="X44" s="48">
        <f t="shared" si="8"/>
        <v>447823</v>
      </c>
      <c r="Y44" s="48">
        <f t="shared" si="8"/>
        <v>443299</v>
      </c>
      <c r="Z44" s="48">
        <f t="shared" si="8"/>
        <v>434804</v>
      </c>
      <c r="AA44" s="48">
        <f t="shared" si="8"/>
        <v>442189</v>
      </c>
      <c r="AB44" s="48">
        <f t="shared" si="8"/>
        <v>446510</v>
      </c>
      <c r="AC44" s="48">
        <f t="shared" si="8"/>
        <v>412619</v>
      </c>
    </row>
    <row r="45" spans="1:29" x14ac:dyDescent="0.25">
      <c r="A45" s="4" t="s">
        <v>40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spans="1:29" x14ac:dyDescent="0.25">
      <c r="A46" s="4" t="s">
        <v>41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spans="1:29" x14ac:dyDescent="0.25">
      <c r="A47" s="8" t="s">
        <v>42</v>
      </c>
      <c r="B47" s="52">
        <v>6489</v>
      </c>
      <c r="C47" s="52">
        <v>6998</v>
      </c>
      <c r="D47" s="52">
        <v>11142</v>
      </c>
      <c r="E47" s="52">
        <v>15484</v>
      </c>
      <c r="F47" s="52">
        <v>8928</v>
      </c>
      <c r="G47" s="52">
        <v>14510</v>
      </c>
      <c r="H47" s="52">
        <v>13413</v>
      </c>
      <c r="I47" s="52">
        <v>17780</v>
      </c>
      <c r="J47" s="52">
        <v>16893</v>
      </c>
      <c r="K47" s="52">
        <v>14226</v>
      </c>
      <c r="L47" s="52">
        <v>15295</v>
      </c>
      <c r="M47" s="52">
        <v>19944</v>
      </c>
      <c r="N47" s="52">
        <v>140777</v>
      </c>
      <c r="O47" s="52">
        <v>139066</v>
      </c>
      <c r="P47" s="52">
        <v>45827</v>
      </c>
      <c r="Q47" s="52">
        <v>9916</v>
      </c>
      <c r="R47" s="52">
        <v>1166</v>
      </c>
      <c r="S47" s="52">
        <v>1412</v>
      </c>
      <c r="T47" s="52">
        <v>4325</v>
      </c>
      <c r="U47" s="52">
        <v>5755</v>
      </c>
      <c r="V47" s="49">
        <v>6114</v>
      </c>
      <c r="W47" s="52">
        <v>7775</v>
      </c>
      <c r="X47" s="52">
        <v>8327</v>
      </c>
      <c r="Y47" s="52">
        <v>4322</v>
      </c>
      <c r="Z47" s="52">
        <v>5011</v>
      </c>
      <c r="AA47" s="52">
        <v>5733</v>
      </c>
      <c r="AB47" s="52">
        <v>3143</v>
      </c>
      <c r="AC47" s="52">
        <v>3863</v>
      </c>
    </row>
    <row r="48" spans="1:29" x14ac:dyDescent="0.25">
      <c r="A48" s="6" t="s">
        <v>43</v>
      </c>
      <c r="B48" s="49">
        <v>24765</v>
      </c>
      <c r="C48" s="49">
        <v>30334</v>
      </c>
      <c r="D48" s="49">
        <v>29460</v>
      </c>
      <c r="E48" s="49">
        <v>25342</v>
      </c>
      <c r="F48" s="49">
        <v>23915</v>
      </c>
      <c r="G48" s="49">
        <v>26928</v>
      </c>
      <c r="H48" s="49">
        <v>28726</v>
      </c>
      <c r="I48" s="49">
        <v>27675</v>
      </c>
      <c r="J48" s="49">
        <v>37636</v>
      </c>
      <c r="K48" s="49">
        <v>38072</v>
      </c>
      <c r="L48" s="49">
        <v>39349</v>
      </c>
      <c r="M48" s="49">
        <v>41164</v>
      </c>
      <c r="N48" s="49">
        <v>35854</v>
      </c>
      <c r="O48" s="49">
        <v>36880</v>
      </c>
      <c r="P48" s="49">
        <v>36174</v>
      </c>
      <c r="Q48" s="49">
        <v>41825</v>
      </c>
      <c r="R48" s="49">
        <v>31826</v>
      </c>
      <c r="S48" s="49">
        <v>28058</v>
      </c>
      <c r="T48" s="49">
        <v>23889</v>
      </c>
      <c r="U48" s="49">
        <v>21541</v>
      </c>
      <c r="V48" s="49">
        <v>23121</v>
      </c>
      <c r="W48" s="49">
        <v>28082</v>
      </c>
      <c r="X48" s="49">
        <v>29511</v>
      </c>
      <c r="Y48" s="49">
        <v>28058</v>
      </c>
      <c r="Z48" s="49">
        <v>29426</v>
      </c>
      <c r="AA48" s="49">
        <v>44723</v>
      </c>
      <c r="AB48" s="49">
        <v>47871</v>
      </c>
      <c r="AC48" s="49">
        <v>34554</v>
      </c>
    </row>
    <row r="49" spans="1:29" x14ac:dyDescent="0.25">
      <c r="A49" s="6" t="s">
        <v>51</v>
      </c>
      <c r="B49" s="49">
        <v>0</v>
      </c>
      <c r="C49" s="49">
        <v>0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10543</v>
      </c>
      <c r="S49" s="49">
        <v>11541</v>
      </c>
      <c r="T49" s="49">
        <v>10490</v>
      </c>
      <c r="U49" s="49">
        <v>9644</v>
      </c>
      <c r="V49" s="49">
        <v>9229</v>
      </c>
      <c r="W49" s="49">
        <v>9631</v>
      </c>
      <c r="X49" s="49">
        <v>10400</v>
      </c>
      <c r="Y49" s="49">
        <v>10108</v>
      </c>
      <c r="Z49" s="49">
        <v>9458</v>
      </c>
      <c r="AA49" s="49">
        <v>9841</v>
      </c>
      <c r="AB49" s="49">
        <v>10482</v>
      </c>
      <c r="AC49" s="49">
        <v>10259</v>
      </c>
    </row>
    <row r="50" spans="1:29" x14ac:dyDescent="0.25">
      <c r="A50" s="4" t="s">
        <v>54</v>
      </c>
      <c r="B50" s="48">
        <f>+SUM(B47:B49)</f>
        <v>31254</v>
      </c>
      <c r="C50" s="48">
        <f t="shared" ref="C50:AC50" si="9">+SUM(C47:C49)</f>
        <v>37332</v>
      </c>
      <c r="D50" s="48">
        <f t="shared" si="9"/>
        <v>40602</v>
      </c>
      <c r="E50" s="48">
        <f t="shared" si="9"/>
        <v>40826</v>
      </c>
      <c r="F50" s="48">
        <f t="shared" si="9"/>
        <v>32843</v>
      </c>
      <c r="G50" s="48">
        <f t="shared" si="9"/>
        <v>41438</v>
      </c>
      <c r="H50" s="48">
        <f t="shared" si="9"/>
        <v>42139</v>
      </c>
      <c r="I50" s="48">
        <f t="shared" si="9"/>
        <v>45455</v>
      </c>
      <c r="J50" s="48">
        <f t="shared" si="9"/>
        <v>54529</v>
      </c>
      <c r="K50" s="48">
        <f t="shared" si="9"/>
        <v>52298</v>
      </c>
      <c r="L50" s="48">
        <f t="shared" si="9"/>
        <v>54644</v>
      </c>
      <c r="M50" s="48">
        <f t="shared" si="9"/>
        <v>61108</v>
      </c>
      <c r="N50" s="48">
        <f t="shared" si="9"/>
        <v>176631</v>
      </c>
      <c r="O50" s="48">
        <f t="shared" si="9"/>
        <v>175946</v>
      </c>
      <c r="P50" s="48">
        <f t="shared" si="9"/>
        <v>82001</v>
      </c>
      <c r="Q50" s="48">
        <f t="shared" si="9"/>
        <v>51741</v>
      </c>
      <c r="R50" s="48">
        <f t="shared" si="9"/>
        <v>43535</v>
      </c>
      <c r="S50" s="48">
        <f t="shared" si="9"/>
        <v>41011</v>
      </c>
      <c r="T50" s="48">
        <f t="shared" si="9"/>
        <v>38704</v>
      </c>
      <c r="U50" s="48">
        <f t="shared" si="9"/>
        <v>36940</v>
      </c>
      <c r="V50" s="48">
        <f t="shared" si="9"/>
        <v>38464</v>
      </c>
      <c r="W50" s="48">
        <f t="shared" si="9"/>
        <v>45488</v>
      </c>
      <c r="X50" s="48">
        <f t="shared" si="9"/>
        <v>48238</v>
      </c>
      <c r="Y50" s="48">
        <f t="shared" si="9"/>
        <v>42488</v>
      </c>
      <c r="Z50" s="48">
        <f t="shared" si="9"/>
        <v>43895</v>
      </c>
      <c r="AA50" s="48">
        <f t="shared" si="9"/>
        <v>60297</v>
      </c>
      <c r="AB50" s="48">
        <f t="shared" si="9"/>
        <v>61496</v>
      </c>
      <c r="AC50" s="48">
        <f t="shared" si="9"/>
        <v>48676</v>
      </c>
    </row>
    <row r="51" spans="1:29" x14ac:dyDescent="0.25">
      <c r="A51" s="4" t="s">
        <v>55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x14ac:dyDescent="0.25">
      <c r="A52" s="8" t="s">
        <v>42</v>
      </c>
      <c r="B52" s="52">
        <v>74904</v>
      </c>
      <c r="C52" s="52">
        <v>72345</v>
      </c>
      <c r="D52" s="52">
        <v>72618</v>
      </c>
      <c r="E52" s="52">
        <v>70801</v>
      </c>
      <c r="F52" s="52">
        <v>88823</v>
      </c>
      <c r="G52" s="52">
        <v>87132</v>
      </c>
      <c r="H52" s="52">
        <v>84790</v>
      </c>
      <c r="I52" s="52">
        <v>99417</v>
      </c>
      <c r="J52" s="52">
        <v>95839</v>
      </c>
      <c r="K52" s="52">
        <v>116901</v>
      </c>
      <c r="L52" s="52">
        <v>113815</v>
      </c>
      <c r="M52" s="52">
        <v>112158</v>
      </c>
      <c r="N52" s="52">
        <v>168831</v>
      </c>
      <c r="O52" s="52">
        <v>165429</v>
      </c>
      <c r="P52" s="52">
        <v>268363</v>
      </c>
      <c r="Q52" s="52">
        <v>350354</v>
      </c>
      <c r="R52" s="52">
        <v>185381</v>
      </c>
      <c r="S52" s="52">
        <v>200079</v>
      </c>
      <c r="T52" s="52">
        <v>200799</v>
      </c>
      <c r="U52" s="52">
        <v>201165</v>
      </c>
      <c r="V52" s="49">
        <v>207285</v>
      </c>
      <c r="W52" s="52">
        <v>211560</v>
      </c>
      <c r="X52" s="52">
        <v>228814</v>
      </c>
      <c r="Y52" s="52">
        <v>219709</v>
      </c>
      <c r="Z52" s="52">
        <v>202490</v>
      </c>
      <c r="AA52" s="52">
        <v>207880</v>
      </c>
      <c r="AB52" s="52">
        <v>218289</v>
      </c>
      <c r="AC52" s="52">
        <v>208153</v>
      </c>
    </row>
    <row r="53" spans="1:29" x14ac:dyDescent="0.25">
      <c r="A53" s="6" t="s">
        <v>43</v>
      </c>
      <c r="B53" s="49">
        <v>5094</v>
      </c>
      <c r="C53" s="49">
        <v>10251</v>
      </c>
      <c r="D53" s="49">
        <v>9835</v>
      </c>
      <c r="E53" s="49">
        <v>9046</v>
      </c>
      <c r="F53" s="49">
        <v>8329</v>
      </c>
      <c r="G53" s="49">
        <v>7792</v>
      </c>
      <c r="H53" s="49">
        <v>7182</v>
      </c>
      <c r="I53" s="49">
        <v>10510</v>
      </c>
      <c r="J53" s="49">
        <v>11657</v>
      </c>
      <c r="K53" s="49">
        <v>8594</v>
      </c>
      <c r="L53" s="49">
        <v>8619</v>
      </c>
      <c r="M53" s="49">
        <v>8975</v>
      </c>
      <c r="N53" s="49">
        <v>6956</v>
      </c>
      <c r="O53" s="49">
        <v>6197</v>
      </c>
      <c r="P53" s="49">
        <v>5659</v>
      </c>
      <c r="Q53" s="49">
        <v>34998</v>
      </c>
      <c r="R53" s="49">
        <v>1647</v>
      </c>
      <c r="S53" s="49">
        <v>2048</v>
      </c>
      <c r="T53" s="49">
        <v>1632</v>
      </c>
      <c r="U53" s="49">
        <v>2115</v>
      </c>
      <c r="V53" s="49">
        <v>2463</v>
      </c>
      <c r="W53" s="49">
        <v>2370</v>
      </c>
      <c r="X53" s="49">
        <v>2838</v>
      </c>
      <c r="Y53" s="49">
        <v>2997</v>
      </c>
      <c r="Z53" s="49">
        <v>2906</v>
      </c>
      <c r="AA53" s="49">
        <v>2814</v>
      </c>
      <c r="AB53" s="49">
        <v>2253</v>
      </c>
      <c r="AC53" s="49">
        <v>2253</v>
      </c>
    </row>
    <row r="54" spans="1:29" x14ac:dyDescent="0.25">
      <c r="A54" s="8" t="s">
        <v>57</v>
      </c>
      <c r="B54" s="52">
        <v>9606</v>
      </c>
      <c r="C54" s="52">
        <v>9800</v>
      </c>
      <c r="D54" s="52">
        <v>9803</v>
      </c>
      <c r="E54" s="52">
        <v>9210</v>
      </c>
      <c r="F54" s="52">
        <v>12771</v>
      </c>
      <c r="G54" s="52">
        <v>12766</v>
      </c>
      <c r="H54" s="52">
        <v>12593</v>
      </c>
      <c r="I54" s="52">
        <v>12520</v>
      </c>
      <c r="J54" s="52">
        <v>12359</v>
      </c>
      <c r="K54" s="52">
        <v>12396</v>
      </c>
      <c r="L54" s="52">
        <v>12444</v>
      </c>
      <c r="M54" s="52">
        <v>12486</v>
      </c>
      <c r="N54" s="52">
        <v>8274</v>
      </c>
      <c r="O54" s="52">
        <v>8350</v>
      </c>
      <c r="P54" s="52">
        <v>8397</v>
      </c>
      <c r="Q54" s="52">
        <v>8474</v>
      </c>
      <c r="R54" s="52">
        <v>4451</v>
      </c>
      <c r="S54" s="52">
        <v>830</v>
      </c>
      <c r="T54" s="52">
        <v>742</v>
      </c>
      <c r="U54" s="52">
        <v>2992</v>
      </c>
      <c r="V54" s="49">
        <v>0</v>
      </c>
      <c r="W54" s="52">
        <v>0</v>
      </c>
      <c r="X54" s="52">
        <v>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</row>
    <row r="55" spans="1:29" x14ac:dyDescent="0.25">
      <c r="A55" s="6" t="s">
        <v>58</v>
      </c>
      <c r="B55" s="49">
        <v>0</v>
      </c>
      <c r="C55" s="49">
        <v>0</v>
      </c>
      <c r="D55" s="49">
        <v>0</v>
      </c>
      <c r="E55" s="49">
        <v>0</v>
      </c>
      <c r="F55" s="52">
        <v>0</v>
      </c>
      <c r="G55" s="52">
        <v>0</v>
      </c>
      <c r="H55" s="52">
        <v>0</v>
      </c>
      <c r="I55" s="52">
        <v>0</v>
      </c>
      <c r="J55" s="49">
        <v>0</v>
      </c>
      <c r="K55" s="49">
        <v>0</v>
      </c>
      <c r="L55" s="49">
        <v>0</v>
      </c>
      <c r="M55" s="49">
        <v>0</v>
      </c>
      <c r="N55" s="52">
        <v>0</v>
      </c>
      <c r="O55" s="52">
        <v>0</v>
      </c>
      <c r="P55" s="52">
        <v>0</v>
      </c>
      <c r="Q55" s="52">
        <v>0</v>
      </c>
      <c r="R55" s="52">
        <v>182379</v>
      </c>
      <c r="S55" s="52">
        <v>185963</v>
      </c>
      <c r="T55" s="52">
        <v>145448</v>
      </c>
      <c r="U55" s="52">
        <v>145082</v>
      </c>
      <c r="V55" s="49">
        <v>149516</v>
      </c>
      <c r="W55" s="52">
        <v>151618</v>
      </c>
      <c r="X55" s="52">
        <v>160077</v>
      </c>
      <c r="Y55" s="52">
        <v>152618</v>
      </c>
      <c r="Z55" s="52">
        <v>129747</v>
      </c>
      <c r="AA55" s="52">
        <v>132029</v>
      </c>
      <c r="AB55" s="52">
        <v>131219</v>
      </c>
      <c r="AC55" s="52">
        <v>122186</v>
      </c>
    </row>
    <row r="56" spans="1:29" x14ac:dyDescent="0.25">
      <c r="A56" s="4" t="s">
        <v>59</v>
      </c>
      <c r="B56" s="48">
        <f t="shared" ref="B56:AC56" si="10">+SUM(B52:B55)</f>
        <v>89604</v>
      </c>
      <c r="C56" s="48">
        <f t="shared" si="10"/>
        <v>92396</v>
      </c>
      <c r="D56" s="48">
        <f t="shared" si="10"/>
        <v>92256</v>
      </c>
      <c r="E56" s="48">
        <f t="shared" si="10"/>
        <v>89057</v>
      </c>
      <c r="F56" s="48">
        <f t="shared" si="10"/>
        <v>109923</v>
      </c>
      <c r="G56" s="48">
        <f t="shared" si="10"/>
        <v>107690</v>
      </c>
      <c r="H56" s="48">
        <f t="shared" si="10"/>
        <v>104565</v>
      </c>
      <c r="I56" s="48">
        <f t="shared" si="10"/>
        <v>122447</v>
      </c>
      <c r="J56" s="48">
        <f t="shared" si="10"/>
        <v>119855</v>
      </c>
      <c r="K56" s="48">
        <f t="shared" si="10"/>
        <v>137891</v>
      </c>
      <c r="L56" s="48">
        <f t="shared" si="10"/>
        <v>134878</v>
      </c>
      <c r="M56" s="48">
        <f t="shared" si="10"/>
        <v>133619</v>
      </c>
      <c r="N56" s="48">
        <f t="shared" si="10"/>
        <v>184061</v>
      </c>
      <c r="O56" s="48">
        <f t="shared" si="10"/>
        <v>179976</v>
      </c>
      <c r="P56" s="48">
        <f t="shared" si="10"/>
        <v>282419</v>
      </c>
      <c r="Q56" s="48">
        <f t="shared" si="10"/>
        <v>393826</v>
      </c>
      <c r="R56" s="48">
        <f t="shared" si="10"/>
        <v>373858</v>
      </c>
      <c r="S56" s="48">
        <f t="shared" si="10"/>
        <v>388920</v>
      </c>
      <c r="T56" s="48">
        <f t="shared" si="10"/>
        <v>348621</v>
      </c>
      <c r="U56" s="48">
        <f t="shared" si="10"/>
        <v>351354</v>
      </c>
      <c r="V56" s="48">
        <f t="shared" si="10"/>
        <v>359264</v>
      </c>
      <c r="W56" s="48">
        <f t="shared" si="10"/>
        <v>365548</v>
      </c>
      <c r="X56" s="48">
        <f t="shared" si="10"/>
        <v>391729</v>
      </c>
      <c r="Y56" s="48">
        <f t="shared" si="10"/>
        <v>375324</v>
      </c>
      <c r="Z56" s="48">
        <f t="shared" si="10"/>
        <v>335143</v>
      </c>
      <c r="AA56" s="48">
        <f t="shared" si="10"/>
        <v>342723</v>
      </c>
      <c r="AB56" s="48">
        <f t="shared" si="10"/>
        <v>351761</v>
      </c>
      <c r="AC56" s="48">
        <f t="shared" si="10"/>
        <v>332592</v>
      </c>
    </row>
    <row r="57" spans="1:29" x14ac:dyDescent="0.25">
      <c r="A57" s="4" t="s">
        <v>60</v>
      </c>
      <c r="B57" s="48">
        <f t="shared" ref="B57:AC57" si="11">+B56+B50</f>
        <v>120858</v>
      </c>
      <c r="C57" s="48">
        <f t="shared" si="11"/>
        <v>129728</v>
      </c>
      <c r="D57" s="48">
        <f t="shared" si="11"/>
        <v>132858</v>
      </c>
      <c r="E57" s="48">
        <f t="shared" si="11"/>
        <v>129883</v>
      </c>
      <c r="F57" s="48">
        <f t="shared" si="11"/>
        <v>142766</v>
      </c>
      <c r="G57" s="48">
        <f t="shared" si="11"/>
        <v>149128</v>
      </c>
      <c r="H57" s="48">
        <f t="shared" si="11"/>
        <v>146704</v>
      </c>
      <c r="I57" s="48">
        <f t="shared" si="11"/>
        <v>167902</v>
      </c>
      <c r="J57" s="48">
        <f t="shared" si="11"/>
        <v>174384</v>
      </c>
      <c r="K57" s="48">
        <f t="shared" si="11"/>
        <v>190189</v>
      </c>
      <c r="L57" s="48">
        <f t="shared" si="11"/>
        <v>189522</v>
      </c>
      <c r="M57" s="48">
        <f t="shared" si="11"/>
        <v>194727</v>
      </c>
      <c r="N57" s="48">
        <f t="shared" si="11"/>
        <v>360692</v>
      </c>
      <c r="O57" s="48">
        <f t="shared" si="11"/>
        <v>355922</v>
      </c>
      <c r="P57" s="48">
        <f t="shared" si="11"/>
        <v>364420</v>
      </c>
      <c r="Q57" s="48">
        <f t="shared" si="11"/>
        <v>445567</v>
      </c>
      <c r="R57" s="48">
        <f t="shared" si="11"/>
        <v>417393</v>
      </c>
      <c r="S57" s="48">
        <f t="shared" si="11"/>
        <v>429931</v>
      </c>
      <c r="T57" s="48">
        <f t="shared" si="11"/>
        <v>387325</v>
      </c>
      <c r="U57" s="48">
        <f t="shared" si="11"/>
        <v>388294</v>
      </c>
      <c r="V57" s="48">
        <f t="shared" si="11"/>
        <v>397728</v>
      </c>
      <c r="W57" s="48">
        <f t="shared" si="11"/>
        <v>411036</v>
      </c>
      <c r="X57" s="48">
        <f t="shared" si="11"/>
        <v>439967</v>
      </c>
      <c r="Y57" s="48">
        <f t="shared" si="11"/>
        <v>417812</v>
      </c>
      <c r="Z57" s="48">
        <f t="shared" si="11"/>
        <v>379038</v>
      </c>
      <c r="AA57" s="48">
        <f t="shared" si="11"/>
        <v>403020</v>
      </c>
      <c r="AB57" s="48">
        <f t="shared" si="11"/>
        <v>413257</v>
      </c>
      <c r="AC57" s="48">
        <f t="shared" si="11"/>
        <v>381268</v>
      </c>
    </row>
    <row r="58" spans="1:29" x14ac:dyDescent="0.25">
      <c r="A58" s="4" t="s">
        <v>61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8">
        <v>0</v>
      </c>
    </row>
    <row r="59" spans="1:29" x14ac:dyDescent="0.25">
      <c r="A59" s="6" t="s">
        <v>62</v>
      </c>
      <c r="B59" s="49">
        <v>61450</v>
      </c>
      <c r="C59" s="49">
        <v>61450</v>
      </c>
      <c r="D59" s="49">
        <v>61450</v>
      </c>
      <c r="E59" s="49">
        <v>61450</v>
      </c>
      <c r="F59" s="52">
        <v>61450</v>
      </c>
      <c r="G59" s="52">
        <v>61450</v>
      </c>
      <c r="H59" s="52">
        <v>61450</v>
      </c>
      <c r="I59" s="52">
        <v>61450</v>
      </c>
      <c r="J59" s="52">
        <v>61450</v>
      </c>
      <c r="K59" s="52">
        <v>61450</v>
      </c>
      <c r="L59" s="52">
        <v>61450</v>
      </c>
      <c r="M59" s="52">
        <v>61450</v>
      </c>
      <c r="N59" s="52">
        <v>61450</v>
      </c>
      <c r="O59" s="52">
        <v>61450</v>
      </c>
      <c r="P59" s="52">
        <v>61450</v>
      </c>
      <c r="Q59" s="52">
        <v>61450</v>
      </c>
      <c r="R59" s="52">
        <v>61450</v>
      </c>
      <c r="S59" s="52">
        <v>61450</v>
      </c>
      <c r="T59" s="52">
        <v>70661</v>
      </c>
      <c r="U59" s="52">
        <v>70661</v>
      </c>
      <c r="V59" s="49">
        <v>70662</v>
      </c>
      <c r="W59" s="52">
        <v>70662</v>
      </c>
      <c r="X59" s="52">
        <v>70662</v>
      </c>
      <c r="Y59" s="52">
        <v>80534</v>
      </c>
      <c r="Z59" s="52">
        <v>80534</v>
      </c>
      <c r="AA59" s="52">
        <v>80534</v>
      </c>
      <c r="AB59" s="52">
        <v>80534</v>
      </c>
      <c r="AC59" s="52">
        <v>80534</v>
      </c>
    </row>
    <row r="60" spans="1:29" x14ac:dyDescent="0.25">
      <c r="A60" s="6" t="s">
        <v>66</v>
      </c>
      <c r="B60" s="49">
        <v>1665</v>
      </c>
      <c r="C60" s="49">
        <v>1737</v>
      </c>
      <c r="D60" s="49">
        <v>1737</v>
      </c>
      <c r="E60" s="49">
        <v>1737</v>
      </c>
      <c r="F60" s="52">
        <v>1737</v>
      </c>
      <c r="G60" s="52">
        <v>1737</v>
      </c>
      <c r="H60" s="52">
        <v>2414</v>
      </c>
      <c r="I60" s="52">
        <v>2414</v>
      </c>
      <c r="J60" s="52">
        <v>2955</v>
      </c>
      <c r="K60" s="52">
        <v>2955</v>
      </c>
      <c r="L60" s="52">
        <v>2955</v>
      </c>
      <c r="M60" s="52">
        <v>2955</v>
      </c>
      <c r="N60" s="52">
        <v>3035</v>
      </c>
      <c r="O60" s="52">
        <v>3035</v>
      </c>
      <c r="P60" s="52">
        <v>3035</v>
      </c>
      <c r="Q60" s="52">
        <v>3035</v>
      </c>
      <c r="R60" s="52">
        <v>3036</v>
      </c>
      <c r="S60" s="52">
        <v>3036</v>
      </c>
      <c r="T60" s="52">
        <v>3036</v>
      </c>
      <c r="U60" s="52">
        <v>3036</v>
      </c>
      <c r="V60" s="49">
        <v>3036</v>
      </c>
      <c r="W60" s="52">
        <v>3036</v>
      </c>
      <c r="X60" s="52">
        <v>3036</v>
      </c>
      <c r="Y60" s="52">
        <v>3036</v>
      </c>
      <c r="Z60" s="52">
        <v>3036</v>
      </c>
      <c r="AA60" s="52">
        <v>3036</v>
      </c>
      <c r="AB60" s="52">
        <v>3036</v>
      </c>
      <c r="AC60" s="52">
        <v>3036</v>
      </c>
    </row>
    <row r="61" spans="1:29" x14ac:dyDescent="0.25">
      <c r="A61" s="8" t="s">
        <v>67</v>
      </c>
      <c r="B61" s="52">
        <v>32545</v>
      </c>
      <c r="C61" s="52">
        <v>32928</v>
      </c>
      <c r="D61" s="52">
        <v>35847</v>
      </c>
      <c r="E61" s="52">
        <v>38621</v>
      </c>
      <c r="F61" s="49">
        <v>33212</v>
      </c>
      <c r="G61" s="49">
        <v>36585</v>
      </c>
      <c r="H61" s="49">
        <v>40748</v>
      </c>
      <c r="I61" s="49">
        <v>42196</v>
      </c>
      <c r="J61" s="49">
        <v>28032</v>
      </c>
      <c r="K61" s="49">
        <v>26419</v>
      </c>
      <c r="L61" s="49">
        <v>28531</v>
      </c>
      <c r="M61" s="49">
        <v>22965</v>
      </c>
      <c r="N61" s="49">
        <v>22531</v>
      </c>
      <c r="O61" s="49">
        <v>24214</v>
      </c>
      <c r="P61" s="49">
        <v>16461</v>
      </c>
      <c r="Q61" s="49">
        <v>14641</v>
      </c>
      <c r="R61" s="49">
        <v>-11413</v>
      </c>
      <c r="S61" s="49">
        <v>-30964</v>
      </c>
      <c r="T61" s="49">
        <v>-43979</v>
      </c>
      <c r="U61" s="49">
        <v>-61420</v>
      </c>
      <c r="V61" s="49">
        <v>-75202</v>
      </c>
      <c r="W61" s="49">
        <v>-91726</v>
      </c>
      <c r="X61" s="49">
        <v>-115761</v>
      </c>
      <c r="Y61" s="49">
        <v>-112403</v>
      </c>
      <c r="Z61" s="49">
        <v>-71768</v>
      </c>
      <c r="AA61" s="49">
        <v>-88365</v>
      </c>
      <c r="AB61" s="49">
        <v>-94281</v>
      </c>
      <c r="AC61" s="49">
        <v>-89419</v>
      </c>
    </row>
    <row r="62" spans="1:29" x14ac:dyDescent="0.25">
      <c r="A62" s="6" t="s">
        <v>68</v>
      </c>
      <c r="B62" s="49">
        <v>-3770</v>
      </c>
      <c r="C62" s="49">
        <v>-3217</v>
      </c>
      <c r="D62" s="49">
        <v>-3211</v>
      </c>
      <c r="E62" s="49">
        <v>-2698</v>
      </c>
      <c r="F62" s="52">
        <v>-2105</v>
      </c>
      <c r="G62" s="52">
        <v>-1897</v>
      </c>
      <c r="H62" s="52">
        <v>-1643</v>
      </c>
      <c r="I62" s="52">
        <v>-1375</v>
      </c>
      <c r="J62" s="52">
        <v>-1155</v>
      </c>
      <c r="K62" s="52">
        <v>-1066</v>
      </c>
      <c r="L62" s="52">
        <v>-953</v>
      </c>
      <c r="M62" s="52">
        <v>-852</v>
      </c>
      <c r="N62" s="52">
        <v>-630</v>
      </c>
      <c r="O62" s="52">
        <v>-448</v>
      </c>
      <c r="P62" s="52">
        <v>-334</v>
      </c>
      <c r="Q62" s="52">
        <v>-150</v>
      </c>
      <c r="R62" s="52">
        <v>0</v>
      </c>
      <c r="S62" s="52">
        <v>0</v>
      </c>
      <c r="T62" s="52">
        <v>0</v>
      </c>
      <c r="U62" s="52">
        <v>6241</v>
      </c>
      <c r="V62" s="49">
        <v>6048</v>
      </c>
      <c r="W62" s="52">
        <v>24236</v>
      </c>
      <c r="X62" s="52">
        <v>49919</v>
      </c>
      <c r="Y62" s="52">
        <v>54320</v>
      </c>
      <c r="Z62" s="52">
        <v>43964</v>
      </c>
      <c r="AA62" s="52">
        <v>43964</v>
      </c>
      <c r="AB62" s="52">
        <v>43964</v>
      </c>
      <c r="AC62" s="52">
        <v>37200</v>
      </c>
    </row>
    <row r="63" spans="1:29" x14ac:dyDescent="0.25">
      <c r="A63" s="4" t="s">
        <v>71</v>
      </c>
      <c r="B63" s="48">
        <f>+SUM(B59:B62)</f>
        <v>91890</v>
      </c>
      <c r="C63" s="48">
        <f t="shared" ref="C63:AC63" si="12">+SUM(C59:C62)</f>
        <v>92898</v>
      </c>
      <c r="D63" s="48">
        <f t="shared" si="12"/>
        <v>95823</v>
      </c>
      <c r="E63" s="48">
        <f t="shared" si="12"/>
        <v>99110</v>
      </c>
      <c r="F63" s="48">
        <f t="shared" si="12"/>
        <v>94294</v>
      </c>
      <c r="G63" s="48">
        <f t="shared" si="12"/>
        <v>97875</v>
      </c>
      <c r="H63" s="48">
        <f t="shared" si="12"/>
        <v>102969</v>
      </c>
      <c r="I63" s="48">
        <f t="shared" si="12"/>
        <v>104685</v>
      </c>
      <c r="J63" s="48">
        <f t="shared" si="12"/>
        <v>91282</v>
      </c>
      <c r="K63" s="48">
        <f t="shared" si="12"/>
        <v>89758</v>
      </c>
      <c r="L63" s="48">
        <f t="shared" si="12"/>
        <v>91983</v>
      </c>
      <c r="M63" s="48">
        <f t="shared" si="12"/>
        <v>86518</v>
      </c>
      <c r="N63" s="48">
        <f t="shared" si="12"/>
        <v>86386</v>
      </c>
      <c r="O63" s="48">
        <f t="shared" si="12"/>
        <v>88251</v>
      </c>
      <c r="P63" s="48">
        <f t="shared" si="12"/>
        <v>80612</v>
      </c>
      <c r="Q63" s="48">
        <f t="shared" si="12"/>
        <v>78976</v>
      </c>
      <c r="R63" s="48">
        <f>+SUM(R59:R62)</f>
        <v>53073</v>
      </c>
      <c r="S63" s="48">
        <f t="shared" si="12"/>
        <v>33522</v>
      </c>
      <c r="T63" s="48">
        <f t="shared" si="12"/>
        <v>29718</v>
      </c>
      <c r="U63" s="48">
        <f t="shared" si="12"/>
        <v>18518</v>
      </c>
      <c r="V63" s="48">
        <f t="shared" si="12"/>
        <v>4544</v>
      </c>
      <c r="W63" s="48">
        <f t="shared" si="12"/>
        <v>6208</v>
      </c>
      <c r="X63" s="48">
        <f t="shared" si="12"/>
        <v>7856</v>
      </c>
      <c r="Y63" s="48">
        <f t="shared" si="12"/>
        <v>25487</v>
      </c>
      <c r="Z63" s="48">
        <f t="shared" si="12"/>
        <v>55766</v>
      </c>
      <c r="AA63" s="48">
        <f t="shared" si="12"/>
        <v>39169</v>
      </c>
      <c r="AB63" s="48">
        <f t="shared" si="12"/>
        <v>33253</v>
      </c>
      <c r="AC63" s="48">
        <f t="shared" si="12"/>
        <v>31351</v>
      </c>
    </row>
    <row r="64" spans="1:29" x14ac:dyDescent="0.25">
      <c r="A64" s="4" t="s">
        <v>72</v>
      </c>
      <c r="B64" s="48">
        <f>+B63+B57</f>
        <v>212748</v>
      </c>
      <c r="C64" s="48">
        <f t="shared" ref="C64:AC64" si="13">+C63+C57</f>
        <v>222626</v>
      </c>
      <c r="D64" s="48">
        <f t="shared" si="13"/>
        <v>228681</v>
      </c>
      <c r="E64" s="48">
        <f t="shared" si="13"/>
        <v>228993</v>
      </c>
      <c r="F64" s="48">
        <f t="shared" si="13"/>
        <v>237060</v>
      </c>
      <c r="G64" s="48">
        <f t="shared" si="13"/>
        <v>247003</v>
      </c>
      <c r="H64" s="48">
        <f t="shared" si="13"/>
        <v>249673</v>
      </c>
      <c r="I64" s="48">
        <f t="shared" si="13"/>
        <v>272587</v>
      </c>
      <c r="J64" s="48">
        <f t="shared" si="13"/>
        <v>265666</v>
      </c>
      <c r="K64" s="48">
        <f t="shared" si="13"/>
        <v>279947</v>
      </c>
      <c r="L64" s="48">
        <f t="shared" si="13"/>
        <v>281505</v>
      </c>
      <c r="M64" s="48">
        <f t="shared" si="13"/>
        <v>281245</v>
      </c>
      <c r="N64" s="48">
        <f t="shared" si="13"/>
        <v>447078</v>
      </c>
      <c r="O64" s="48">
        <f t="shared" si="13"/>
        <v>444173</v>
      </c>
      <c r="P64" s="48">
        <f t="shared" si="13"/>
        <v>445032</v>
      </c>
      <c r="Q64" s="48">
        <f t="shared" si="13"/>
        <v>524543</v>
      </c>
      <c r="R64" s="48">
        <f t="shared" si="13"/>
        <v>470466</v>
      </c>
      <c r="S64" s="48">
        <f t="shared" si="13"/>
        <v>463453</v>
      </c>
      <c r="T64" s="48">
        <f t="shared" si="13"/>
        <v>417043</v>
      </c>
      <c r="U64" s="48">
        <f t="shared" si="13"/>
        <v>406812</v>
      </c>
      <c r="V64" s="48">
        <f t="shared" si="13"/>
        <v>402272</v>
      </c>
      <c r="W64" s="48">
        <f t="shared" si="13"/>
        <v>417244</v>
      </c>
      <c r="X64" s="48">
        <f t="shared" si="13"/>
        <v>447823</v>
      </c>
      <c r="Y64" s="48">
        <f t="shared" si="13"/>
        <v>443299</v>
      </c>
      <c r="Z64" s="48">
        <f t="shared" si="13"/>
        <v>434804</v>
      </c>
      <c r="AA64" s="48">
        <f t="shared" si="13"/>
        <v>442189</v>
      </c>
      <c r="AB64" s="48">
        <f t="shared" si="13"/>
        <v>446510</v>
      </c>
      <c r="AC64" s="48">
        <f t="shared" si="13"/>
        <v>412619</v>
      </c>
    </row>
    <row r="66" spans="1:29" ht="15.75" x14ac:dyDescent="0.25">
      <c r="A66" s="2" t="s">
        <v>167</v>
      </c>
    </row>
    <row r="67" spans="1:29" x14ac:dyDescent="0.25">
      <c r="A67" s="3" t="s">
        <v>7</v>
      </c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</row>
    <row r="68" spans="1:29" s="31" customFormat="1" x14ac:dyDescent="0.25">
      <c r="A68" s="34" t="s">
        <v>170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</row>
    <row r="69" spans="1:29" s="31" customFormat="1" x14ac:dyDescent="0.25">
      <c r="A69" s="33" t="s">
        <v>171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</row>
    <row r="70" spans="1:29" s="31" customFormat="1" x14ac:dyDescent="0.25">
      <c r="A70" s="37" t="s">
        <v>172</v>
      </c>
      <c r="B70" s="56">
        <v>26459</v>
      </c>
      <c r="C70" s="56">
        <v>36686</v>
      </c>
      <c r="D70" s="56">
        <v>39579</v>
      </c>
      <c r="E70" s="56">
        <v>45116</v>
      </c>
      <c r="F70" s="56">
        <v>31086</v>
      </c>
      <c r="G70" s="56">
        <v>36098</v>
      </c>
      <c r="H70" s="56">
        <v>43208</v>
      </c>
      <c r="I70" s="56">
        <v>46941</v>
      </c>
      <c r="J70" s="56">
        <v>40738</v>
      </c>
      <c r="K70" s="56">
        <v>30415</v>
      </c>
      <c r="L70" s="56">
        <v>51239</v>
      </c>
      <c r="M70" s="56">
        <v>48473</v>
      </c>
      <c r="N70" s="56">
        <v>41717</v>
      </c>
      <c r="O70" s="56">
        <v>37024</v>
      </c>
      <c r="P70" s="56">
        <v>53715</v>
      </c>
      <c r="Q70" s="56">
        <v>52018</v>
      </c>
      <c r="R70" s="56">
        <v>39101</v>
      </c>
      <c r="S70" s="56">
        <v>5861</v>
      </c>
      <c r="T70" s="56">
        <v>19734</v>
      </c>
      <c r="U70" s="56">
        <v>25969</v>
      </c>
      <c r="V70" s="56">
        <v>19774</v>
      </c>
      <c r="W70" s="56">
        <v>18752</v>
      </c>
      <c r="X70" s="56">
        <v>23706</v>
      </c>
      <c r="Y70" s="56">
        <v>29677</v>
      </c>
      <c r="Z70" s="56">
        <v>24797</v>
      </c>
      <c r="AA70" s="56">
        <v>28699</v>
      </c>
      <c r="AB70" s="56">
        <v>45452</v>
      </c>
      <c r="AC70" s="56">
        <v>54505</v>
      </c>
    </row>
    <row r="71" spans="1:29" s="31" customFormat="1" x14ac:dyDescent="0.25">
      <c r="A71" s="37" t="s">
        <v>176</v>
      </c>
      <c r="B71" s="56">
        <v>0</v>
      </c>
      <c r="C71" s="56">
        <v>243</v>
      </c>
      <c r="D71" s="56">
        <v>1258</v>
      </c>
      <c r="E71" s="56">
        <v>-509</v>
      </c>
      <c r="F71" s="56">
        <v>0</v>
      </c>
      <c r="G71" s="56">
        <v>0</v>
      </c>
      <c r="H71" s="56">
        <v>792</v>
      </c>
      <c r="I71" s="56">
        <v>-792</v>
      </c>
      <c r="J71" s="56">
        <v>0</v>
      </c>
      <c r="K71" s="56">
        <v>0</v>
      </c>
      <c r="L71" s="56">
        <v>614</v>
      </c>
      <c r="M71" s="56">
        <v>1077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>
        <v>0</v>
      </c>
      <c r="AC71" s="56">
        <v>0</v>
      </c>
    </row>
    <row r="72" spans="1:29" s="31" customFormat="1" x14ac:dyDescent="0.25">
      <c r="A72" s="33" t="s">
        <v>177</v>
      </c>
      <c r="B72" s="55"/>
      <c r="C72" s="55">
        <v>0</v>
      </c>
      <c r="D72" s="55">
        <v>0</v>
      </c>
      <c r="E72" s="55">
        <v>0</v>
      </c>
      <c r="F72" s="55"/>
      <c r="G72" s="55">
        <v>0</v>
      </c>
      <c r="H72" s="55">
        <v>0</v>
      </c>
      <c r="I72" s="55">
        <v>0</v>
      </c>
      <c r="J72" s="55"/>
      <c r="K72" s="55">
        <v>0</v>
      </c>
      <c r="L72" s="55">
        <v>0</v>
      </c>
      <c r="M72" s="55">
        <v>0</v>
      </c>
      <c r="N72" s="55"/>
      <c r="O72" s="55">
        <v>0</v>
      </c>
      <c r="P72" s="55">
        <v>0</v>
      </c>
      <c r="Q72" s="55">
        <v>0</v>
      </c>
      <c r="R72" s="55"/>
      <c r="S72" s="55">
        <v>0</v>
      </c>
      <c r="T72" s="55">
        <v>0</v>
      </c>
      <c r="U72" s="55">
        <v>0</v>
      </c>
      <c r="V72" s="55"/>
      <c r="W72" s="55">
        <v>0</v>
      </c>
      <c r="X72" s="55">
        <v>0</v>
      </c>
      <c r="Y72" s="55">
        <v>0</v>
      </c>
      <c r="Z72" s="55"/>
      <c r="AA72" s="55">
        <v>0</v>
      </c>
      <c r="AB72" s="55">
        <v>0</v>
      </c>
      <c r="AC72" s="55">
        <v>0</v>
      </c>
    </row>
    <row r="73" spans="1:29" s="31" customFormat="1" x14ac:dyDescent="0.25">
      <c r="A73" s="37" t="s">
        <v>178</v>
      </c>
      <c r="B73" s="56">
        <v>-16197</v>
      </c>
      <c r="C73" s="56">
        <v>-9135</v>
      </c>
      <c r="D73" s="56">
        <v>-16617</v>
      </c>
      <c r="E73" s="56">
        <v>-16827</v>
      </c>
      <c r="F73" s="56">
        <v>-19761</v>
      </c>
      <c r="G73" s="56">
        <v>-15013</v>
      </c>
      <c r="H73" s="56">
        <v>-16226</v>
      </c>
      <c r="I73" s="56">
        <v>-17865</v>
      </c>
      <c r="J73" s="56">
        <v>-21031</v>
      </c>
      <c r="K73" s="56">
        <v>-14318</v>
      </c>
      <c r="L73" s="56">
        <v>-23248</v>
      </c>
      <c r="M73" s="56">
        <v>-24293</v>
      </c>
      <c r="N73" s="56">
        <v>-25518</v>
      </c>
      <c r="O73" s="56">
        <v>-16795</v>
      </c>
      <c r="P73" s="56">
        <v>-21543</v>
      </c>
      <c r="Q73" s="56">
        <v>-25266</v>
      </c>
      <c r="R73" s="56">
        <v>-24233</v>
      </c>
      <c r="S73" s="56">
        <v>-10063</v>
      </c>
      <c r="T73" s="56">
        <v>-15305</v>
      </c>
      <c r="U73" s="56">
        <v>-8818</v>
      </c>
      <c r="V73" s="56">
        <v>-13649</v>
      </c>
      <c r="W73" s="56">
        <v>-8780</v>
      </c>
      <c r="X73" s="56">
        <v>-8612</v>
      </c>
      <c r="Y73" s="56">
        <v>-16852</v>
      </c>
      <c r="Z73" s="56">
        <v>-17285</v>
      </c>
      <c r="AA73" s="56">
        <v>-8324</v>
      </c>
      <c r="AB73" s="56">
        <v>-21946</v>
      </c>
      <c r="AC73" s="56">
        <v>-20349</v>
      </c>
    </row>
    <row r="74" spans="1:29" s="31" customFormat="1" x14ac:dyDescent="0.25">
      <c r="A74" s="37" t="s">
        <v>181</v>
      </c>
      <c r="B74" s="56">
        <v>-7184</v>
      </c>
      <c r="C74" s="56">
        <v>-8951</v>
      </c>
      <c r="D74" s="56">
        <v>-10126</v>
      </c>
      <c r="E74" s="56">
        <v>-11100</v>
      </c>
      <c r="F74" s="56">
        <v>-8390</v>
      </c>
      <c r="G74" s="56">
        <v>-8824</v>
      </c>
      <c r="H74" s="56">
        <v>-9873</v>
      </c>
      <c r="I74" s="56">
        <v>-12435</v>
      </c>
      <c r="J74" s="56">
        <v>-8851</v>
      </c>
      <c r="K74" s="56">
        <v>-10659</v>
      </c>
      <c r="L74" s="56">
        <v>-11566</v>
      </c>
      <c r="M74" s="56">
        <v>-14207</v>
      </c>
      <c r="N74" s="56">
        <v>-10051</v>
      </c>
      <c r="O74" s="56">
        <v>-14193</v>
      </c>
      <c r="P74" s="56">
        <v>-11916</v>
      </c>
      <c r="Q74" s="56">
        <v>-11627</v>
      </c>
      <c r="R74" s="56">
        <v>-10729</v>
      </c>
      <c r="S74" s="56">
        <v>-6314</v>
      </c>
      <c r="T74" s="56">
        <v>-11079</v>
      </c>
      <c r="U74" s="56">
        <v>-7327</v>
      </c>
      <c r="V74" s="56">
        <v>-6014</v>
      </c>
      <c r="W74" s="56">
        <v>-4962</v>
      </c>
      <c r="X74" s="56">
        <v>-5929</v>
      </c>
      <c r="Y74" s="56">
        <v>-8095</v>
      </c>
      <c r="Z74" s="56">
        <v>-4379</v>
      </c>
      <c r="AA74" s="56">
        <v>-6997</v>
      </c>
      <c r="AB74" s="56">
        <v>-8887</v>
      </c>
      <c r="AC74" s="56">
        <v>-13976</v>
      </c>
    </row>
    <row r="75" spans="1:29" s="31" customFormat="1" x14ac:dyDescent="0.25">
      <c r="A75" s="37" t="s">
        <v>185</v>
      </c>
      <c r="B75" s="56">
        <v>-2138</v>
      </c>
      <c r="C75" s="56">
        <v>-6647</v>
      </c>
      <c r="D75" s="56">
        <v>-8199</v>
      </c>
      <c r="E75" s="56">
        <v>-5182</v>
      </c>
      <c r="F75" s="56">
        <v>-4137</v>
      </c>
      <c r="G75" s="56">
        <v>-6187</v>
      </c>
      <c r="H75" s="56">
        <v>-8714</v>
      </c>
      <c r="I75" s="56">
        <v>-4180</v>
      </c>
      <c r="J75" s="56">
        <v>-5235</v>
      </c>
      <c r="K75" s="56">
        <v>-8190</v>
      </c>
      <c r="L75" s="56">
        <v>-5433</v>
      </c>
      <c r="M75" s="56">
        <v>-6395</v>
      </c>
      <c r="N75" s="56">
        <v>-724</v>
      </c>
      <c r="O75" s="56">
        <v>-9821</v>
      </c>
      <c r="P75" s="56">
        <v>-13217</v>
      </c>
      <c r="Q75" s="56">
        <v>-26742</v>
      </c>
      <c r="R75" s="56">
        <v>-13627</v>
      </c>
      <c r="S75" s="56">
        <v>10753</v>
      </c>
      <c r="T75" s="56">
        <v>-91</v>
      </c>
      <c r="U75" s="56">
        <v>-190</v>
      </c>
      <c r="V75" s="56">
        <v>-2446</v>
      </c>
      <c r="W75" s="56">
        <v>253</v>
      </c>
      <c r="X75" s="56">
        <v>-462</v>
      </c>
      <c r="Y75" s="56">
        <v>2846</v>
      </c>
      <c r="Z75" s="56">
        <v>0</v>
      </c>
      <c r="AA75" s="56">
        <v>0</v>
      </c>
      <c r="AB75" s="56">
        <v>-491</v>
      </c>
      <c r="AC75" s="56">
        <v>-3100</v>
      </c>
    </row>
    <row r="76" spans="1:29" s="31" customFormat="1" x14ac:dyDescent="0.25">
      <c r="A76" s="38" t="s">
        <v>190</v>
      </c>
      <c r="B76" s="57">
        <v>-1771</v>
      </c>
      <c r="C76" s="57">
        <v>1771</v>
      </c>
      <c r="D76" s="57">
        <v>0</v>
      </c>
      <c r="E76" s="57">
        <v>0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s="57">
        <v>0</v>
      </c>
      <c r="L76" s="57">
        <v>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  <c r="W76" s="57">
        <v>0</v>
      </c>
      <c r="X76" s="57">
        <v>0</v>
      </c>
      <c r="Y76" s="57">
        <v>0</v>
      </c>
      <c r="Z76" s="57">
        <v>0</v>
      </c>
      <c r="AA76" s="57">
        <v>0</v>
      </c>
      <c r="AB76" s="57">
        <v>0</v>
      </c>
      <c r="AC76" s="57">
        <v>0</v>
      </c>
    </row>
    <row r="77" spans="1:29" s="31" customFormat="1" x14ac:dyDescent="0.25">
      <c r="A77" s="37" t="s">
        <v>195</v>
      </c>
      <c r="B77" s="56">
        <v>0</v>
      </c>
      <c r="C77" s="56">
        <v>0</v>
      </c>
      <c r="D77" s="56">
        <v>0</v>
      </c>
      <c r="E77" s="56">
        <v>-890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0</v>
      </c>
      <c r="U77" s="56">
        <v>0</v>
      </c>
      <c r="V77" s="56">
        <v>-825</v>
      </c>
      <c r="W77" s="56">
        <v>825</v>
      </c>
      <c r="X77" s="56">
        <v>0</v>
      </c>
      <c r="Y77" s="56">
        <v>-4979</v>
      </c>
      <c r="Z77" s="56">
        <v>-1776</v>
      </c>
      <c r="AA77" s="56">
        <v>-1518</v>
      </c>
      <c r="AB77" s="56">
        <v>-3249</v>
      </c>
      <c r="AC77" s="56">
        <v>-846</v>
      </c>
    </row>
    <row r="78" spans="1:29" s="36" customFormat="1" x14ac:dyDescent="0.25">
      <c r="A78" s="35" t="s">
        <v>198</v>
      </c>
      <c r="B78" s="58">
        <f>+SUM(B70:B77)</f>
        <v>-831</v>
      </c>
      <c r="C78" s="58">
        <f t="shared" ref="C78:AC78" si="14">+SUM(C70:C77)</f>
        <v>13967</v>
      </c>
      <c r="D78" s="58">
        <f t="shared" si="14"/>
        <v>5895</v>
      </c>
      <c r="E78" s="58">
        <f t="shared" si="14"/>
        <v>10608</v>
      </c>
      <c r="F78" s="58">
        <f t="shared" si="14"/>
        <v>-1202</v>
      </c>
      <c r="G78" s="58">
        <f t="shared" si="14"/>
        <v>6074</v>
      </c>
      <c r="H78" s="58">
        <f t="shared" si="14"/>
        <v>9187</v>
      </c>
      <c r="I78" s="58">
        <f t="shared" si="14"/>
        <v>11669</v>
      </c>
      <c r="J78" s="58">
        <f t="shared" si="14"/>
        <v>5621</v>
      </c>
      <c r="K78" s="58">
        <f t="shared" si="14"/>
        <v>-2752</v>
      </c>
      <c r="L78" s="58">
        <f t="shared" si="14"/>
        <v>11606</v>
      </c>
      <c r="M78" s="58">
        <f t="shared" si="14"/>
        <v>4655</v>
      </c>
      <c r="N78" s="58">
        <f t="shared" si="14"/>
        <v>5424</v>
      </c>
      <c r="O78" s="58">
        <f t="shared" si="14"/>
        <v>-3785</v>
      </c>
      <c r="P78" s="58">
        <f t="shared" si="14"/>
        <v>7039</v>
      </c>
      <c r="Q78" s="58">
        <f t="shared" si="14"/>
        <v>-11617</v>
      </c>
      <c r="R78" s="58">
        <f t="shared" si="14"/>
        <v>-9488</v>
      </c>
      <c r="S78" s="58">
        <f t="shared" si="14"/>
        <v>237</v>
      </c>
      <c r="T78" s="58">
        <f t="shared" si="14"/>
        <v>-6741</v>
      </c>
      <c r="U78" s="58">
        <f t="shared" si="14"/>
        <v>9634</v>
      </c>
      <c r="V78" s="58">
        <f t="shared" si="14"/>
        <v>-3160</v>
      </c>
      <c r="W78" s="58">
        <f t="shared" si="14"/>
        <v>6088</v>
      </c>
      <c r="X78" s="58">
        <f t="shared" si="14"/>
        <v>8703</v>
      </c>
      <c r="Y78" s="58">
        <f t="shared" si="14"/>
        <v>2597</v>
      </c>
      <c r="Z78" s="58">
        <f t="shared" si="14"/>
        <v>1357</v>
      </c>
      <c r="AA78" s="58">
        <f t="shared" si="14"/>
        <v>11860</v>
      </c>
      <c r="AB78" s="58">
        <f t="shared" si="14"/>
        <v>10879</v>
      </c>
      <c r="AC78" s="58">
        <f t="shared" si="14"/>
        <v>16234</v>
      </c>
    </row>
    <row r="79" spans="1:29" x14ac:dyDescent="0.25">
      <c r="A79" s="4"/>
      <c r="B79" s="59"/>
      <c r="C79" s="59">
        <v>0</v>
      </c>
      <c r="D79" s="59">
        <v>0</v>
      </c>
      <c r="E79" s="59">
        <v>0</v>
      </c>
      <c r="F79" s="59"/>
      <c r="G79" s="59">
        <v>0</v>
      </c>
      <c r="H79" s="59">
        <v>0</v>
      </c>
      <c r="I79" s="59">
        <v>0</v>
      </c>
      <c r="J79" s="59"/>
      <c r="K79" s="59">
        <v>0</v>
      </c>
      <c r="L79" s="59">
        <v>0</v>
      </c>
      <c r="M79" s="59">
        <v>0</v>
      </c>
      <c r="N79" s="59"/>
      <c r="O79" s="59">
        <v>0</v>
      </c>
      <c r="P79" s="59">
        <v>0</v>
      </c>
      <c r="Q79" s="59">
        <v>0</v>
      </c>
      <c r="R79" s="59"/>
      <c r="S79" s="59">
        <v>0</v>
      </c>
      <c r="T79" s="59">
        <v>0</v>
      </c>
      <c r="U79" s="59">
        <v>0</v>
      </c>
      <c r="V79" s="59"/>
      <c r="W79" s="59">
        <v>0</v>
      </c>
      <c r="X79" s="59">
        <v>0</v>
      </c>
      <c r="Y79" s="59">
        <v>0</v>
      </c>
      <c r="Z79" s="59"/>
      <c r="AA79" s="59">
        <v>0</v>
      </c>
      <c r="AB79" s="59">
        <v>0</v>
      </c>
      <c r="AC79" s="59">
        <v>0</v>
      </c>
    </row>
    <row r="80" spans="1:29" s="31" customFormat="1" x14ac:dyDescent="0.25">
      <c r="A80" s="34" t="s">
        <v>200</v>
      </c>
      <c r="B80" s="55"/>
      <c r="C80" s="55">
        <v>0</v>
      </c>
      <c r="D80" s="55">
        <v>0</v>
      </c>
      <c r="E80" s="55">
        <v>0</v>
      </c>
      <c r="F80" s="55"/>
      <c r="G80" s="55">
        <v>0</v>
      </c>
      <c r="H80" s="55">
        <v>0</v>
      </c>
      <c r="I80" s="55">
        <v>0</v>
      </c>
      <c r="J80" s="55"/>
      <c r="K80" s="55">
        <v>0</v>
      </c>
      <c r="L80" s="55">
        <v>0</v>
      </c>
      <c r="M80" s="55">
        <v>0</v>
      </c>
      <c r="N80" s="55"/>
      <c r="O80" s="55">
        <v>0</v>
      </c>
      <c r="P80" s="55">
        <v>0</v>
      </c>
      <c r="Q80" s="55">
        <v>0</v>
      </c>
      <c r="R80" s="55"/>
      <c r="S80" s="55">
        <v>0</v>
      </c>
      <c r="T80" s="55">
        <v>0</v>
      </c>
      <c r="U80" s="55">
        <v>0</v>
      </c>
      <c r="V80" s="55"/>
      <c r="W80" s="55">
        <v>0</v>
      </c>
      <c r="X80" s="55">
        <v>0</v>
      </c>
      <c r="Y80" s="55">
        <v>0</v>
      </c>
      <c r="Z80" s="55"/>
      <c r="AA80" s="55">
        <v>0</v>
      </c>
      <c r="AB80" s="55">
        <v>0</v>
      </c>
      <c r="AC80" s="55">
        <v>0</v>
      </c>
    </row>
    <row r="81" spans="1:29" s="31" customFormat="1" x14ac:dyDescent="0.25">
      <c r="A81" s="45" t="s">
        <v>201</v>
      </c>
      <c r="B81" s="55">
        <f>+SUM(B82:B84)</f>
        <v>0</v>
      </c>
      <c r="C81" s="55">
        <v>0</v>
      </c>
      <c r="D81" s="55">
        <v>617</v>
      </c>
      <c r="E81" s="55">
        <v>-617</v>
      </c>
      <c r="F81" s="55">
        <f t="shared" ref="F81:Z81" si="15">+SUM(F82:F84)</f>
        <v>0</v>
      </c>
      <c r="G81" s="55">
        <v>0</v>
      </c>
      <c r="H81" s="55">
        <v>0</v>
      </c>
      <c r="I81" s="55">
        <v>0</v>
      </c>
      <c r="J81" s="55">
        <f t="shared" si="15"/>
        <v>0</v>
      </c>
      <c r="K81" s="55">
        <v>0</v>
      </c>
      <c r="L81" s="55">
        <v>0</v>
      </c>
      <c r="M81" s="55">
        <v>0</v>
      </c>
      <c r="N81" s="55">
        <f t="shared" si="15"/>
        <v>9442</v>
      </c>
      <c r="O81" s="55">
        <v>-9442</v>
      </c>
      <c r="P81" s="55">
        <v>9087</v>
      </c>
      <c r="Q81" s="55">
        <v>-2529</v>
      </c>
      <c r="R81" s="55">
        <f t="shared" si="15"/>
        <v>0</v>
      </c>
      <c r="S81" s="55">
        <v>0</v>
      </c>
      <c r="T81" s="55">
        <v>0</v>
      </c>
      <c r="U81" s="55">
        <v>0</v>
      </c>
      <c r="V81" s="55">
        <f t="shared" si="15"/>
        <v>0</v>
      </c>
      <c r="W81" s="55">
        <v>0</v>
      </c>
      <c r="X81" s="55">
        <v>0</v>
      </c>
      <c r="Y81" s="55">
        <v>0</v>
      </c>
      <c r="Z81" s="55">
        <f t="shared" si="15"/>
        <v>0</v>
      </c>
      <c r="AA81" s="55">
        <v>0</v>
      </c>
      <c r="AB81" s="55">
        <v>0</v>
      </c>
      <c r="AC81" s="55">
        <v>0</v>
      </c>
    </row>
    <row r="82" spans="1:29" s="31" customFormat="1" x14ac:dyDescent="0.25">
      <c r="A82" s="38" t="s">
        <v>204</v>
      </c>
      <c r="B82" s="57">
        <v>0</v>
      </c>
      <c r="C82" s="57">
        <v>0</v>
      </c>
      <c r="D82" s="57">
        <v>617</v>
      </c>
      <c r="E82" s="57">
        <v>-617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0</v>
      </c>
      <c r="L82" s="57">
        <v>0</v>
      </c>
      <c r="M82" s="57">
        <v>0</v>
      </c>
      <c r="N82" s="57">
        <v>0</v>
      </c>
      <c r="O82" s="57">
        <v>0</v>
      </c>
      <c r="P82" s="57">
        <v>5616</v>
      </c>
      <c r="Q82" s="57">
        <v>-2529</v>
      </c>
      <c r="R82" s="57">
        <v>0</v>
      </c>
      <c r="S82" s="57">
        <v>0</v>
      </c>
      <c r="T82" s="57">
        <v>0</v>
      </c>
      <c r="U82" s="57">
        <v>0</v>
      </c>
      <c r="V82" s="57">
        <v>0</v>
      </c>
      <c r="W82" s="57">
        <v>0</v>
      </c>
      <c r="X82" s="57">
        <v>0</v>
      </c>
      <c r="Y82" s="57">
        <v>0</v>
      </c>
      <c r="Z82" s="57">
        <v>0</v>
      </c>
      <c r="AA82" s="57">
        <v>0</v>
      </c>
      <c r="AB82" s="57">
        <v>0</v>
      </c>
      <c r="AC82" s="57">
        <v>0</v>
      </c>
    </row>
    <row r="83" spans="1:29" s="31" customFormat="1" x14ac:dyDescent="0.25">
      <c r="A83" s="37" t="s">
        <v>205</v>
      </c>
      <c r="B83" s="56">
        <v>0</v>
      </c>
      <c r="C83" s="56">
        <v>0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5971</v>
      </c>
      <c r="O83" s="56">
        <v>-5971</v>
      </c>
      <c r="P83" s="56">
        <v>0</v>
      </c>
      <c r="Q83" s="56">
        <v>0</v>
      </c>
      <c r="R83" s="56">
        <v>0</v>
      </c>
      <c r="S83" s="56">
        <v>0</v>
      </c>
      <c r="T83" s="56">
        <v>0</v>
      </c>
      <c r="U83" s="56">
        <v>0</v>
      </c>
      <c r="V83" s="56">
        <v>0</v>
      </c>
      <c r="W83" s="56">
        <v>0</v>
      </c>
      <c r="X83" s="56">
        <v>0</v>
      </c>
      <c r="Y83" s="56">
        <v>0</v>
      </c>
      <c r="Z83" s="56">
        <v>0</v>
      </c>
      <c r="AA83" s="56">
        <v>0</v>
      </c>
      <c r="AB83" s="56">
        <v>0</v>
      </c>
      <c r="AC83" s="56">
        <v>0</v>
      </c>
    </row>
    <row r="84" spans="1:29" s="31" customFormat="1" x14ac:dyDescent="0.25">
      <c r="A84" s="37" t="s">
        <v>213</v>
      </c>
      <c r="B84" s="56">
        <v>0</v>
      </c>
      <c r="C84" s="56">
        <v>0</v>
      </c>
      <c r="D84" s="56">
        <v>0</v>
      </c>
      <c r="E84" s="56">
        <v>0</v>
      </c>
      <c r="F84" s="56">
        <v>0</v>
      </c>
      <c r="G84" s="56">
        <v>0</v>
      </c>
      <c r="H84" s="56">
        <v>0</v>
      </c>
      <c r="I84" s="56">
        <v>0</v>
      </c>
      <c r="J84" s="56">
        <v>0</v>
      </c>
      <c r="K84" s="56">
        <v>0</v>
      </c>
      <c r="L84" s="56">
        <v>0</v>
      </c>
      <c r="M84" s="56">
        <v>0</v>
      </c>
      <c r="N84" s="56">
        <v>3471</v>
      </c>
      <c r="O84" s="56">
        <v>-3471</v>
      </c>
      <c r="P84" s="56">
        <v>3471</v>
      </c>
      <c r="Q84" s="56">
        <v>0</v>
      </c>
      <c r="R84" s="56">
        <v>0</v>
      </c>
      <c r="S84" s="56">
        <v>0</v>
      </c>
      <c r="T84" s="56">
        <v>0</v>
      </c>
      <c r="U84" s="56">
        <v>0</v>
      </c>
      <c r="V84" s="56">
        <v>0</v>
      </c>
      <c r="W84" s="56">
        <v>0</v>
      </c>
      <c r="X84" s="56">
        <v>0</v>
      </c>
      <c r="Y84" s="56">
        <v>0</v>
      </c>
      <c r="Z84" s="56">
        <v>0</v>
      </c>
      <c r="AA84" s="56">
        <v>0</v>
      </c>
      <c r="AB84" s="56">
        <v>0</v>
      </c>
      <c r="AC84" s="56">
        <v>0</v>
      </c>
    </row>
    <row r="85" spans="1:29" s="31" customFormat="1" x14ac:dyDescent="0.25">
      <c r="A85" s="45" t="s">
        <v>214</v>
      </c>
      <c r="B85" s="55">
        <f>+SUM(B86:B90)</f>
        <v>-10017</v>
      </c>
      <c r="C85" s="55">
        <v>-13847</v>
      </c>
      <c r="D85" s="55">
        <v>-8473</v>
      </c>
      <c r="E85" s="55">
        <v>-8653</v>
      </c>
      <c r="F85" s="55">
        <f t="shared" ref="F85:Z85" si="16">+SUM(F86:F90)</f>
        <v>-6431</v>
      </c>
      <c r="G85" s="55">
        <v>-7077</v>
      </c>
      <c r="H85" s="55">
        <v>-7050</v>
      </c>
      <c r="I85" s="55">
        <v>-16138</v>
      </c>
      <c r="J85" s="55">
        <f t="shared" si="16"/>
        <v>-10560</v>
      </c>
      <c r="K85" s="55">
        <v>-10096</v>
      </c>
      <c r="L85" s="55">
        <v>-10048</v>
      </c>
      <c r="M85" s="55">
        <v>-6663</v>
      </c>
      <c r="N85" s="55">
        <f t="shared" si="16"/>
        <v>-3644</v>
      </c>
      <c r="O85" s="55">
        <v>-2140</v>
      </c>
      <c r="P85" s="55">
        <v>-8871</v>
      </c>
      <c r="Q85" s="55">
        <v>-34189</v>
      </c>
      <c r="R85" s="55">
        <f t="shared" si="16"/>
        <v>-6382</v>
      </c>
      <c r="S85" s="55">
        <v>713</v>
      </c>
      <c r="T85" s="55">
        <v>-597</v>
      </c>
      <c r="U85" s="55">
        <v>-1131</v>
      </c>
      <c r="V85" s="55">
        <f t="shared" si="16"/>
        <v>-807</v>
      </c>
      <c r="W85" s="55">
        <v>-1459</v>
      </c>
      <c r="X85" s="55">
        <v>-1782</v>
      </c>
      <c r="Y85" s="55">
        <v>-2983</v>
      </c>
      <c r="Z85" s="55">
        <f t="shared" si="16"/>
        <v>-1231</v>
      </c>
      <c r="AA85" s="55">
        <v>-6341</v>
      </c>
      <c r="AB85" s="55">
        <v>984</v>
      </c>
      <c r="AC85" s="55">
        <v>-4452</v>
      </c>
    </row>
    <row r="86" spans="1:29" s="31" customFormat="1" x14ac:dyDescent="0.25">
      <c r="A86" s="32" t="s">
        <v>215</v>
      </c>
      <c r="B86" s="56">
        <v>0</v>
      </c>
      <c r="C86" s="56">
        <v>0</v>
      </c>
      <c r="D86" s="56">
        <v>0</v>
      </c>
      <c r="E86" s="56">
        <v>0</v>
      </c>
      <c r="F86" s="56">
        <v>0</v>
      </c>
      <c r="G86" s="56">
        <v>0</v>
      </c>
      <c r="H86" s="56">
        <v>0</v>
      </c>
      <c r="I86" s="56">
        <v>0</v>
      </c>
      <c r="J86" s="56">
        <v>-1211</v>
      </c>
      <c r="K86" s="56">
        <v>1211</v>
      </c>
      <c r="L86" s="56">
        <v>0</v>
      </c>
      <c r="M86" s="56">
        <v>0</v>
      </c>
      <c r="N86" s="56">
        <v>0</v>
      </c>
      <c r="O86" s="56">
        <v>0</v>
      </c>
      <c r="P86" s="56">
        <v>0</v>
      </c>
      <c r="Q86" s="56">
        <v>0</v>
      </c>
      <c r="R86" s="56">
        <v>0</v>
      </c>
      <c r="S86" s="56">
        <v>0</v>
      </c>
      <c r="T86" s="56">
        <v>0</v>
      </c>
      <c r="U86" s="56">
        <v>0</v>
      </c>
      <c r="V86" s="56">
        <v>0</v>
      </c>
      <c r="W86" s="56">
        <v>0</v>
      </c>
      <c r="X86" s="56">
        <v>0</v>
      </c>
      <c r="Y86" s="56">
        <v>0</v>
      </c>
      <c r="Z86" s="56">
        <v>0</v>
      </c>
      <c r="AA86" s="56">
        <v>0</v>
      </c>
      <c r="AB86" s="56">
        <v>0</v>
      </c>
      <c r="AC86" s="56">
        <v>0</v>
      </c>
    </row>
    <row r="87" spans="1:29" s="31" customFormat="1" x14ac:dyDescent="0.25">
      <c r="A87" s="32" t="s">
        <v>217</v>
      </c>
      <c r="B87" s="56">
        <v>0</v>
      </c>
      <c r="C87" s="56">
        <v>0</v>
      </c>
      <c r="D87" s="56">
        <v>0</v>
      </c>
      <c r="E87" s="56">
        <v>0</v>
      </c>
      <c r="F87" s="56">
        <v>0</v>
      </c>
      <c r="G87" s="56">
        <v>0</v>
      </c>
      <c r="H87" s="56">
        <v>0</v>
      </c>
      <c r="I87" s="56">
        <v>0</v>
      </c>
      <c r="J87" s="56">
        <v>0</v>
      </c>
      <c r="K87" s="56">
        <v>0</v>
      </c>
      <c r="L87" s="56">
        <v>-2586</v>
      </c>
      <c r="M87" s="56">
        <v>-1113</v>
      </c>
      <c r="N87" s="56">
        <v>0</v>
      </c>
      <c r="O87" s="56">
        <v>0</v>
      </c>
      <c r="P87" s="56">
        <v>-2529</v>
      </c>
      <c r="Q87" s="56">
        <v>2529</v>
      </c>
      <c r="R87" s="56">
        <v>-2052</v>
      </c>
      <c r="S87" s="56">
        <v>1712</v>
      </c>
      <c r="T87" s="56">
        <v>0</v>
      </c>
      <c r="U87" s="56">
        <v>0</v>
      </c>
      <c r="V87" s="56">
        <v>0</v>
      </c>
      <c r="W87" s="56">
        <v>0</v>
      </c>
      <c r="X87" s="56">
        <v>0</v>
      </c>
      <c r="Y87" s="56">
        <v>0</v>
      </c>
      <c r="Z87" s="56">
        <v>0</v>
      </c>
      <c r="AA87" s="56">
        <v>0</v>
      </c>
      <c r="AB87" s="56">
        <v>0</v>
      </c>
      <c r="AC87" s="56">
        <v>0</v>
      </c>
    </row>
    <row r="88" spans="1:29" s="31" customFormat="1" x14ac:dyDescent="0.25">
      <c r="A88" s="30" t="s">
        <v>221</v>
      </c>
      <c r="B88" s="57">
        <v>-7901</v>
      </c>
      <c r="C88" s="57">
        <v>-9992</v>
      </c>
      <c r="D88" s="57">
        <v>-8716</v>
      </c>
      <c r="E88" s="57">
        <v>-14381</v>
      </c>
      <c r="F88" s="57">
        <v>-6431</v>
      </c>
      <c r="G88" s="57">
        <v>-5925</v>
      </c>
      <c r="H88" s="57">
        <v>-8202</v>
      </c>
      <c r="I88" s="57">
        <v>-13466</v>
      </c>
      <c r="J88" s="57">
        <v>-6212</v>
      </c>
      <c r="K88" s="57">
        <v>-12090</v>
      </c>
      <c r="L88" s="57">
        <v>-8089</v>
      </c>
      <c r="M88" s="57">
        <v>-6070</v>
      </c>
      <c r="N88" s="57">
        <v>-3644</v>
      </c>
      <c r="O88" s="57">
        <v>-1286</v>
      </c>
      <c r="P88" s="57">
        <v>-4694</v>
      </c>
      <c r="Q88" s="57">
        <v>-2492</v>
      </c>
      <c r="R88" s="57">
        <v>-4305</v>
      </c>
      <c r="S88" s="57">
        <v>-924</v>
      </c>
      <c r="T88" s="57">
        <v>-199</v>
      </c>
      <c r="U88" s="57">
        <v>-873</v>
      </c>
      <c r="V88" s="57">
        <v>-461</v>
      </c>
      <c r="W88" s="57">
        <v>-1712</v>
      </c>
      <c r="X88" s="57">
        <v>-1750</v>
      </c>
      <c r="Y88" s="57">
        <v>-2415</v>
      </c>
      <c r="Z88" s="57">
        <v>-1231</v>
      </c>
      <c r="AA88" s="57">
        <v>-2399</v>
      </c>
      <c r="AB88" s="57">
        <v>1006</v>
      </c>
      <c r="AC88" s="57">
        <v>-3451</v>
      </c>
    </row>
    <row r="89" spans="1:29" s="31" customFormat="1" x14ac:dyDescent="0.25">
      <c r="A89" s="32" t="s">
        <v>224</v>
      </c>
      <c r="B89" s="56">
        <v>-2116</v>
      </c>
      <c r="C89" s="56">
        <v>-3855</v>
      </c>
      <c r="D89" s="56">
        <v>243</v>
      </c>
      <c r="E89" s="56">
        <v>5728</v>
      </c>
      <c r="F89" s="56">
        <v>0</v>
      </c>
      <c r="G89" s="56">
        <v>0</v>
      </c>
      <c r="H89" s="56">
        <v>0</v>
      </c>
      <c r="I89" s="56">
        <v>-2672</v>
      </c>
      <c r="J89" s="56">
        <v>-3137</v>
      </c>
      <c r="K89" s="56">
        <v>3137</v>
      </c>
      <c r="L89" s="56">
        <v>-1727</v>
      </c>
      <c r="M89" s="56">
        <v>520</v>
      </c>
      <c r="N89" s="56">
        <v>0</v>
      </c>
      <c r="O89" s="56">
        <v>-854</v>
      </c>
      <c r="P89" s="56">
        <v>-1648</v>
      </c>
      <c r="Q89" s="56">
        <v>-34226</v>
      </c>
      <c r="R89" s="56">
        <v>-25</v>
      </c>
      <c r="S89" s="56">
        <v>-75</v>
      </c>
      <c r="T89" s="56">
        <v>-398</v>
      </c>
      <c r="U89" s="56">
        <v>-258</v>
      </c>
      <c r="V89" s="56">
        <v>-346</v>
      </c>
      <c r="W89" s="56">
        <v>253</v>
      </c>
      <c r="X89" s="56">
        <v>-32</v>
      </c>
      <c r="Y89" s="56">
        <v>-568</v>
      </c>
      <c r="Z89" s="56">
        <v>0</v>
      </c>
      <c r="AA89" s="56">
        <v>-3942</v>
      </c>
      <c r="AB89" s="56">
        <v>-22</v>
      </c>
      <c r="AC89" s="56">
        <v>-1001</v>
      </c>
    </row>
    <row r="90" spans="1:29" s="31" customFormat="1" x14ac:dyDescent="0.25">
      <c r="A90" s="30" t="s">
        <v>228</v>
      </c>
      <c r="B90" s="57">
        <v>0</v>
      </c>
      <c r="C90" s="57">
        <v>0</v>
      </c>
      <c r="D90" s="57">
        <v>0</v>
      </c>
      <c r="E90" s="57">
        <v>0</v>
      </c>
      <c r="F90" s="57">
        <v>0</v>
      </c>
      <c r="G90" s="57">
        <v>-1152</v>
      </c>
      <c r="H90" s="57">
        <v>1152</v>
      </c>
      <c r="I90" s="57">
        <v>0</v>
      </c>
      <c r="J90" s="57">
        <v>0</v>
      </c>
      <c r="K90" s="57">
        <v>-2354</v>
      </c>
      <c r="L90" s="57">
        <v>2354</v>
      </c>
      <c r="M90" s="57">
        <v>0</v>
      </c>
      <c r="N90" s="57">
        <v>0</v>
      </c>
      <c r="O90" s="57">
        <v>0</v>
      </c>
      <c r="P90" s="57">
        <v>0</v>
      </c>
      <c r="Q90" s="57">
        <v>0</v>
      </c>
      <c r="R90" s="57">
        <v>0</v>
      </c>
      <c r="S90" s="57">
        <v>0</v>
      </c>
      <c r="T90" s="57">
        <v>0</v>
      </c>
      <c r="U90" s="57">
        <v>0</v>
      </c>
      <c r="V90" s="57">
        <v>0</v>
      </c>
      <c r="W90" s="57">
        <v>0</v>
      </c>
      <c r="X90" s="57">
        <v>0</v>
      </c>
      <c r="Y90" s="57">
        <v>0</v>
      </c>
      <c r="Z90" s="57">
        <v>0</v>
      </c>
      <c r="AA90" s="57">
        <v>0</v>
      </c>
      <c r="AB90" s="57">
        <v>0</v>
      </c>
      <c r="AC90" s="57">
        <v>0</v>
      </c>
    </row>
    <row r="91" spans="1:29" s="36" customFormat="1" x14ac:dyDescent="0.25">
      <c r="A91" s="35" t="s">
        <v>229</v>
      </c>
      <c r="B91" s="60">
        <f>+B81+B85</f>
        <v>-10017</v>
      </c>
      <c r="C91" s="60">
        <f t="shared" ref="C91:AC91" si="17">+C81+C85</f>
        <v>-13847</v>
      </c>
      <c r="D91" s="60">
        <f t="shared" si="17"/>
        <v>-7856</v>
      </c>
      <c r="E91" s="60">
        <f t="shared" si="17"/>
        <v>-9270</v>
      </c>
      <c r="F91" s="60">
        <f t="shared" si="17"/>
        <v>-6431</v>
      </c>
      <c r="G91" s="60">
        <f t="shared" si="17"/>
        <v>-7077</v>
      </c>
      <c r="H91" s="60">
        <f t="shared" si="17"/>
        <v>-7050</v>
      </c>
      <c r="I91" s="60">
        <f t="shared" si="17"/>
        <v>-16138</v>
      </c>
      <c r="J91" s="60">
        <f t="shared" si="17"/>
        <v>-10560</v>
      </c>
      <c r="K91" s="60">
        <f t="shared" si="17"/>
        <v>-10096</v>
      </c>
      <c r="L91" s="60">
        <f t="shared" si="17"/>
        <v>-10048</v>
      </c>
      <c r="M91" s="60">
        <f t="shared" si="17"/>
        <v>-6663</v>
      </c>
      <c r="N91" s="60">
        <f t="shared" si="17"/>
        <v>5798</v>
      </c>
      <c r="O91" s="60">
        <f t="shared" si="17"/>
        <v>-11582</v>
      </c>
      <c r="P91" s="60">
        <f t="shared" si="17"/>
        <v>216</v>
      </c>
      <c r="Q91" s="60">
        <f t="shared" si="17"/>
        <v>-36718</v>
      </c>
      <c r="R91" s="60">
        <f t="shared" si="17"/>
        <v>-6382</v>
      </c>
      <c r="S91" s="60">
        <f t="shared" si="17"/>
        <v>713</v>
      </c>
      <c r="T91" s="60">
        <f t="shared" si="17"/>
        <v>-597</v>
      </c>
      <c r="U91" s="60">
        <f t="shared" si="17"/>
        <v>-1131</v>
      </c>
      <c r="V91" s="60">
        <f t="shared" si="17"/>
        <v>-807</v>
      </c>
      <c r="W91" s="60">
        <f t="shared" si="17"/>
        <v>-1459</v>
      </c>
      <c r="X91" s="60">
        <f t="shared" si="17"/>
        <v>-1782</v>
      </c>
      <c r="Y91" s="60">
        <f t="shared" si="17"/>
        <v>-2983</v>
      </c>
      <c r="Z91" s="60">
        <f t="shared" si="17"/>
        <v>-1231</v>
      </c>
      <c r="AA91" s="60">
        <f t="shared" si="17"/>
        <v>-6341</v>
      </c>
      <c r="AB91" s="60">
        <f t="shared" si="17"/>
        <v>984</v>
      </c>
      <c r="AC91" s="60">
        <f t="shared" si="17"/>
        <v>-4452</v>
      </c>
    </row>
    <row r="92" spans="1:29" x14ac:dyDescent="0.25">
      <c r="A92" s="4"/>
      <c r="B92" s="59"/>
      <c r="C92" s="59">
        <v>0</v>
      </c>
      <c r="D92" s="59">
        <v>0</v>
      </c>
      <c r="E92" s="59">
        <v>0</v>
      </c>
      <c r="F92" s="59"/>
      <c r="G92" s="59">
        <v>0</v>
      </c>
      <c r="H92" s="59">
        <v>0</v>
      </c>
      <c r="I92" s="59">
        <v>0</v>
      </c>
      <c r="J92" s="59"/>
      <c r="K92" s="59">
        <v>0</v>
      </c>
      <c r="L92" s="59">
        <v>0</v>
      </c>
      <c r="M92" s="59">
        <v>0</v>
      </c>
      <c r="N92" s="59"/>
      <c r="O92" s="59">
        <v>0</v>
      </c>
      <c r="P92" s="59">
        <v>0</v>
      </c>
      <c r="Q92" s="59">
        <v>0</v>
      </c>
      <c r="R92" s="59"/>
      <c r="S92" s="59">
        <v>0</v>
      </c>
      <c r="T92" s="59">
        <v>0</v>
      </c>
      <c r="U92" s="59">
        <v>0</v>
      </c>
      <c r="V92" s="59"/>
      <c r="W92" s="59">
        <v>0</v>
      </c>
      <c r="X92" s="59">
        <v>0</v>
      </c>
      <c r="Y92" s="59">
        <v>0</v>
      </c>
      <c r="Z92" s="59"/>
      <c r="AA92" s="59">
        <v>0</v>
      </c>
      <c r="AB92" s="59">
        <v>0</v>
      </c>
      <c r="AC92" s="59">
        <v>0</v>
      </c>
    </row>
    <row r="93" spans="1:29" s="31" customFormat="1" x14ac:dyDescent="0.25">
      <c r="A93" s="34" t="s">
        <v>232</v>
      </c>
      <c r="B93" s="55"/>
      <c r="C93" s="55">
        <v>0</v>
      </c>
      <c r="D93" s="55">
        <v>0</v>
      </c>
      <c r="E93" s="55">
        <v>0</v>
      </c>
      <c r="F93" s="55"/>
      <c r="G93" s="55">
        <v>0</v>
      </c>
      <c r="H93" s="55">
        <v>0</v>
      </c>
      <c r="I93" s="55">
        <v>0</v>
      </c>
      <c r="J93" s="55"/>
      <c r="K93" s="55">
        <v>0</v>
      </c>
      <c r="L93" s="55">
        <v>0</v>
      </c>
      <c r="M93" s="55">
        <v>0</v>
      </c>
      <c r="N93" s="55"/>
      <c r="O93" s="55">
        <v>0</v>
      </c>
      <c r="P93" s="55">
        <v>0</v>
      </c>
      <c r="Q93" s="55">
        <v>0</v>
      </c>
      <c r="R93" s="55"/>
      <c r="S93" s="55">
        <v>0</v>
      </c>
      <c r="T93" s="55">
        <v>0</v>
      </c>
      <c r="U93" s="55">
        <v>0</v>
      </c>
      <c r="V93" s="55"/>
      <c r="W93" s="55">
        <v>0</v>
      </c>
      <c r="X93" s="55">
        <v>0</v>
      </c>
      <c r="Y93" s="55">
        <v>0</v>
      </c>
      <c r="Z93" s="55"/>
      <c r="AA93" s="55">
        <v>0</v>
      </c>
      <c r="AB93" s="55">
        <v>0</v>
      </c>
      <c r="AC93" s="55">
        <v>0</v>
      </c>
    </row>
    <row r="94" spans="1:29" s="31" customFormat="1" x14ac:dyDescent="0.25">
      <c r="A94" s="45" t="s">
        <v>233</v>
      </c>
      <c r="B94" s="55"/>
      <c r="C94" s="55">
        <v>0</v>
      </c>
      <c r="D94" s="55">
        <v>0</v>
      </c>
      <c r="E94" s="55">
        <v>0</v>
      </c>
      <c r="F94" s="55"/>
      <c r="G94" s="55">
        <v>0</v>
      </c>
      <c r="H94" s="55">
        <v>0</v>
      </c>
      <c r="I94" s="55">
        <v>0</v>
      </c>
      <c r="J94" s="55"/>
      <c r="K94" s="55">
        <v>0</v>
      </c>
      <c r="L94" s="55">
        <v>0</v>
      </c>
      <c r="M94" s="55">
        <v>0</v>
      </c>
      <c r="N94" s="55"/>
      <c r="O94" s="55">
        <v>0</v>
      </c>
      <c r="P94" s="55">
        <v>0</v>
      </c>
      <c r="Q94" s="55">
        <v>0</v>
      </c>
      <c r="R94" s="55"/>
      <c r="S94" s="55">
        <v>0</v>
      </c>
      <c r="T94" s="55">
        <v>0</v>
      </c>
      <c r="U94" s="55">
        <v>0</v>
      </c>
      <c r="V94" s="55"/>
      <c r="W94" s="55">
        <v>0</v>
      </c>
      <c r="X94" s="55">
        <v>0</v>
      </c>
      <c r="Y94" s="55">
        <v>0</v>
      </c>
      <c r="Z94" s="55"/>
      <c r="AA94" s="55">
        <v>0</v>
      </c>
      <c r="AB94" s="55">
        <v>0</v>
      </c>
      <c r="AC94" s="55">
        <v>0</v>
      </c>
    </row>
    <row r="95" spans="1:29" s="31" customFormat="1" x14ac:dyDescent="0.25">
      <c r="A95" s="46" t="s">
        <v>234</v>
      </c>
      <c r="B95" s="57">
        <v>0</v>
      </c>
      <c r="C95" s="57">
        <v>0</v>
      </c>
      <c r="D95" s="57">
        <v>6849</v>
      </c>
      <c r="E95" s="57">
        <v>5582</v>
      </c>
      <c r="F95" s="57">
        <v>24499</v>
      </c>
      <c r="G95" s="57">
        <v>4083</v>
      </c>
      <c r="H95" s="57">
        <v>0</v>
      </c>
      <c r="I95" s="57">
        <v>124231</v>
      </c>
      <c r="J95" s="57">
        <v>4877</v>
      </c>
      <c r="K95" s="57">
        <v>39827</v>
      </c>
      <c r="L95" s="57">
        <v>0</v>
      </c>
      <c r="M95" s="57">
        <v>3338</v>
      </c>
      <c r="N95" s="57">
        <v>24339</v>
      </c>
      <c r="O95" s="57">
        <v>14619</v>
      </c>
      <c r="P95" s="57">
        <v>21491</v>
      </c>
      <c r="Q95" s="57">
        <v>182471</v>
      </c>
      <c r="R95" s="57">
        <v>0</v>
      </c>
      <c r="S95" s="57">
        <v>10000</v>
      </c>
      <c r="T95" s="57">
        <v>0</v>
      </c>
      <c r="U95" s="57">
        <v>0</v>
      </c>
      <c r="V95" s="57">
        <v>0</v>
      </c>
      <c r="W95" s="57">
        <v>0</v>
      </c>
      <c r="X95" s="57">
        <v>4406</v>
      </c>
      <c r="Y95" s="57">
        <v>0</v>
      </c>
      <c r="Z95" s="57">
        <v>0</v>
      </c>
      <c r="AA95" s="57">
        <v>0</v>
      </c>
      <c r="AB95" s="57">
        <v>9500</v>
      </c>
      <c r="AC95" s="57">
        <v>0</v>
      </c>
    </row>
    <row r="96" spans="1:29" s="31" customFormat="1" x14ac:dyDescent="0.25">
      <c r="A96" s="47" t="s">
        <v>237</v>
      </c>
      <c r="B96" s="56">
        <v>0</v>
      </c>
      <c r="C96" s="56">
        <v>0</v>
      </c>
      <c r="D96" s="56">
        <v>0</v>
      </c>
      <c r="E96" s="56">
        <v>0</v>
      </c>
      <c r="F96" s="56">
        <v>0</v>
      </c>
      <c r="G96" s="56">
        <v>0</v>
      </c>
      <c r="H96" s="56">
        <v>0</v>
      </c>
      <c r="I96" s="56">
        <v>0</v>
      </c>
      <c r="J96" s="56">
        <v>0</v>
      </c>
      <c r="K96" s="56">
        <v>0</v>
      </c>
      <c r="L96" s="56">
        <v>0</v>
      </c>
      <c r="M96" s="56">
        <v>0</v>
      </c>
      <c r="N96" s="56">
        <v>0</v>
      </c>
      <c r="O96" s="56">
        <v>0</v>
      </c>
      <c r="P96" s="56">
        <v>0</v>
      </c>
      <c r="Q96" s="56">
        <v>0</v>
      </c>
      <c r="R96" s="56">
        <v>0</v>
      </c>
      <c r="S96" s="56">
        <v>0</v>
      </c>
      <c r="T96" s="56">
        <v>9212</v>
      </c>
      <c r="U96" s="56">
        <v>0</v>
      </c>
      <c r="V96" s="56">
        <v>0</v>
      </c>
      <c r="W96" s="56">
        <v>0</v>
      </c>
      <c r="X96" s="56">
        <v>0</v>
      </c>
      <c r="Y96" s="56">
        <v>9873</v>
      </c>
      <c r="Z96" s="56">
        <v>0</v>
      </c>
      <c r="AA96" s="56">
        <v>0</v>
      </c>
      <c r="AB96" s="56">
        <v>0</v>
      </c>
      <c r="AC96" s="56">
        <v>0</v>
      </c>
    </row>
    <row r="97" spans="1:29" s="31" customFormat="1" x14ac:dyDescent="0.25">
      <c r="A97" s="45" t="s">
        <v>239</v>
      </c>
      <c r="B97" s="55"/>
      <c r="C97" s="55">
        <v>0</v>
      </c>
      <c r="D97" s="55">
        <v>0</v>
      </c>
      <c r="E97" s="55">
        <v>0</v>
      </c>
      <c r="F97" s="55"/>
      <c r="G97" s="55">
        <v>0</v>
      </c>
      <c r="H97" s="55">
        <v>0</v>
      </c>
      <c r="I97" s="55">
        <v>0</v>
      </c>
      <c r="J97" s="55"/>
      <c r="K97" s="55">
        <v>0</v>
      </c>
      <c r="L97" s="55">
        <v>0</v>
      </c>
      <c r="M97" s="55">
        <v>0</v>
      </c>
      <c r="N97" s="55"/>
      <c r="O97" s="55">
        <v>0</v>
      </c>
      <c r="P97" s="55">
        <v>0</v>
      </c>
      <c r="Q97" s="55">
        <v>0</v>
      </c>
      <c r="R97" s="55"/>
      <c r="S97" s="55">
        <v>0</v>
      </c>
      <c r="T97" s="55">
        <v>0</v>
      </c>
      <c r="U97" s="55">
        <v>0</v>
      </c>
      <c r="V97" s="55"/>
      <c r="W97" s="55">
        <v>0</v>
      </c>
      <c r="X97" s="55">
        <v>0</v>
      </c>
      <c r="Y97" s="55">
        <v>0</v>
      </c>
      <c r="Z97" s="55"/>
      <c r="AA97" s="55">
        <v>0</v>
      </c>
      <c r="AB97" s="55">
        <v>0</v>
      </c>
      <c r="AC97" s="55">
        <v>0</v>
      </c>
    </row>
    <row r="98" spans="1:29" s="31" customFormat="1" x14ac:dyDescent="0.25">
      <c r="A98" s="47" t="s">
        <v>240</v>
      </c>
      <c r="B98" s="56">
        <v>-3558</v>
      </c>
      <c r="C98" s="56">
        <v>695</v>
      </c>
      <c r="D98" s="56">
        <v>-3540</v>
      </c>
      <c r="E98" s="56">
        <v>-5199</v>
      </c>
      <c r="F98" s="56">
        <v>-13857</v>
      </c>
      <c r="G98" s="56">
        <v>-213</v>
      </c>
      <c r="H98" s="56">
        <v>-3401</v>
      </c>
      <c r="I98" s="56">
        <v>-105236</v>
      </c>
      <c r="J98" s="56">
        <v>-10692</v>
      </c>
      <c r="K98" s="56">
        <v>-21432</v>
      </c>
      <c r="L98" s="56">
        <v>-119</v>
      </c>
      <c r="M98" s="56">
        <v>4295</v>
      </c>
      <c r="N98" s="56">
        <v>-25960</v>
      </c>
      <c r="O98" s="56">
        <v>3857</v>
      </c>
      <c r="P98" s="56">
        <v>-21649</v>
      </c>
      <c r="Q98" s="56">
        <v>-89139</v>
      </c>
      <c r="R98" s="56">
        <v>-165</v>
      </c>
      <c r="S98" s="56">
        <v>-8943</v>
      </c>
      <c r="T98" s="56">
        <v>-42</v>
      </c>
      <c r="U98" s="56">
        <v>0</v>
      </c>
      <c r="V98" s="56">
        <v>-71</v>
      </c>
      <c r="W98" s="56">
        <v>-111</v>
      </c>
      <c r="X98" s="56">
        <v>-786</v>
      </c>
      <c r="Y98" s="56">
        <v>-1460</v>
      </c>
      <c r="Z98" s="56">
        <v>-666</v>
      </c>
      <c r="AA98" s="56">
        <v>-672</v>
      </c>
      <c r="AB98" s="56">
        <v>-10817</v>
      </c>
      <c r="AC98" s="56">
        <v>-712</v>
      </c>
    </row>
    <row r="99" spans="1:29" s="31" customFormat="1" x14ac:dyDescent="0.25">
      <c r="A99" s="46" t="s">
        <v>243</v>
      </c>
      <c r="B99" s="57">
        <v>0</v>
      </c>
      <c r="C99" s="57">
        <v>0</v>
      </c>
      <c r="D99" s="57">
        <v>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7">
        <v>0</v>
      </c>
      <c r="P99" s="57">
        <v>0</v>
      </c>
      <c r="Q99" s="57">
        <v>0</v>
      </c>
      <c r="R99" s="57">
        <v>-5016</v>
      </c>
      <c r="S99" s="57">
        <v>-1889</v>
      </c>
      <c r="T99" s="57">
        <v>-3181</v>
      </c>
      <c r="U99" s="57">
        <v>-2772</v>
      </c>
      <c r="V99" s="57">
        <v>-3618</v>
      </c>
      <c r="W99" s="57">
        <v>-4011</v>
      </c>
      <c r="X99" s="57">
        <v>-4373</v>
      </c>
      <c r="Y99" s="57">
        <v>-4298</v>
      </c>
      <c r="Z99" s="57">
        <v>-4404</v>
      </c>
      <c r="AA99" s="57">
        <v>-4732</v>
      </c>
      <c r="AB99" s="57">
        <v>-5251</v>
      </c>
      <c r="AC99" s="57">
        <v>-5977</v>
      </c>
    </row>
    <row r="100" spans="1:29" s="31" customFormat="1" x14ac:dyDescent="0.25">
      <c r="A100" s="47" t="s">
        <v>246</v>
      </c>
      <c r="B100" s="56">
        <v>0</v>
      </c>
      <c r="C100" s="56">
        <v>-2829</v>
      </c>
      <c r="D100" s="56">
        <v>-1392</v>
      </c>
      <c r="E100" s="56">
        <v>-1381</v>
      </c>
      <c r="F100" s="56">
        <v>-1616</v>
      </c>
      <c r="G100" s="56">
        <v>-1680</v>
      </c>
      <c r="H100" s="56">
        <v>-1544</v>
      </c>
      <c r="I100" s="56">
        <v>-2079</v>
      </c>
      <c r="J100" s="56">
        <v>-1408</v>
      </c>
      <c r="K100" s="56">
        <v>-1577</v>
      </c>
      <c r="L100" s="56">
        <v>-1824</v>
      </c>
      <c r="M100" s="56">
        <v>-1824</v>
      </c>
      <c r="N100" s="56">
        <v>-1842</v>
      </c>
      <c r="O100" s="56">
        <v>-1857</v>
      </c>
      <c r="P100" s="56">
        <v>-1823</v>
      </c>
      <c r="Q100" s="56">
        <v>-1767</v>
      </c>
      <c r="R100" s="56">
        <v>-2471</v>
      </c>
      <c r="S100" s="56">
        <v>-2276</v>
      </c>
      <c r="T100" s="56">
        <v>-2434</v>
      </c>
      <c r="U100" s="56">
        <v>-2476</v>
      </c>
      <c r="V100" s="56">
        <v>-3277</v>
      </c>
      <c r="W100" s="56">
        <v>-3393</v>
      </c>
      <c r="X100" s="56">
        <v>-2276</v>
      </c>
      <c r="Y100" s="56">
        <v>-3025</v>
      </c>
      <c r="Z100" s="56">
        <v>-2492</v>
      </c>
      <c r="AA100" s="56">
        <v>-2482</v>
      </c>
      <c r="AB100" s="56">
        <v>-2588</v>
      </c>
      <c r="AC100" s="56">
        <v>-2562</v>
      </c>
    </row>
    <row r="101" spans="1:29" s="31" customFormat="1" x14ac:dyDescent="0.25">
      <c r="A101" s="46" t="s">
        <v>247</v>
      </c>
      <c r="B101" s="57">
        <v>0</v>
      </c>
      <c r="C101" s="57">
        <v>0</v>
      </c>
      <c r="D101" s="57">
        <v>-1157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7">
        <v>-1900</v>
      </c>
      <c r="M101" s="57">
        <v>-4640</v>
      </c>
      <c r="N101" s="57">
        <v>-7075</v>
      </c>
      <c r="O101" s="57">
        <v>0</v>
      </c>
      <c r="P101" s="57">
        <v>0</v>
      </c>
      <c r="Q101" s="57">
        <v>0</v>
      </c>
      <c r="R101" s="57">
        <v>-6642</v>
      </c>
      <c r="S101" s="57">
        <v>0</v>
      </c>
      <c r="T101" s="57">
        <v>0</v>
      </c>
      <c r="U101" s="57">
        <v>0</v>
      </c>
      <c r="V101" s="57">
        <v>0</v>
      </c>
      <c r="W101" s="57">
        <v>0</v>
      </c>
      <c r="X101" s="57">
        <v>0</v>
      </c>
      <c r="Y101" s="57">
        <v>0</v>
      </c>
      <c r="Z101" s="57">
        <v>0</v>
      </c>
      <c r="AA101" s="57">
        <v>0</v>
      </c>
      <c r="AB101" s="57">
        <v>0</v>
      </c>
      <c r="AC101" s="57">
        <v>0</v>
      </c>
    </row>
    <row r="102" spans="1:29" s="36" customFormat="1" x14ac:dyDescent="0.25">
      <c r="A102" s="35" t="s">
        <v>249</v>
      </c>
      <c r="B102" s="60">
        <f t="shared" ref="B102:AC102" si="18">+SUM(B95:B101)</f>
        <v>-3558</v>
      </c>
      <c r="C102" s="60">
        <f t="shared" si="18"/>
        <v>-2134</v>
      </c>
      <c r="D102" s="60">
        <f t="shared" si="18"/>
        <v>760</v>
      </c>
      <c r="E102" s="60">
        <f t="shared" si="18"/>
        <v>-998</v>
      </c>
      <c r="F102" s="60">
        <f t="shared" si="18"/>
        <v>9026</v>
      </c>
      <c r="G102" s="60">
        <f t="shared" si="18"/>
        <v>2190</v>
      </c>
      <c r="H102" s="60">
        <f t="shared" si="18"/>
        <v>-4945</v>
      </c>
      <c r="I102" s="60">
        <f t="shared" si="18"/>
        <v>16916</v>
      </c>
      <c r="J102" s="60">
        <f t="shared" si="18"/>
        <v>-7223</v>
      </c>
      <c r="K102" s="60">
        <f t="shared" si="18"/>
        <v>16818</v>
      </c>
      <c r="L102" s="60">
        <f t="shared" si="18"/>
        <v>-3843</v>
      </c>
      <c r="M102" s="60">
        <f t="shared" si="18"/>
        <v>1169</v>
      </c>
      <c r="N102" s="60">
        <f t="shared" si="18"/>
        <v>-10538</v>
      </c>
      <c r="O102" s="60">
        <f t="shared" si="18"/>
        <v>16619</v>
      </c>
      <c r="P102" s="60">
        <f t="shared" si="18"/>
        <v>-1981</v>
      </c>
      <c r="Q102" s="60">
        <f t="shared" si="18"/>
        <v>91565</v>
      </c>
      <c r="R102" s="60">
        <f t="shared" si="18"/>
        <v>-14294</v>
      </c>
      <c r="S102" s="60">
        <f t="shared" si="18"/>
        <v>-3108</v>
      </c>
      <c r="T102" s="60">
        <f t="shared" si="18"/>
        <v>3555</v>
      </c>
      <c r="U102" s="60">
        <f t="shared" si="18"/>
        <v>-5248</v>
      </c>
      <c r="V102" s="60">
        <f t="shared" si="18"/>
        <v>-6966</v>
      </c>
      <c r="W102" s="60">
        <f t="shared" si="18"/>
        <v>-7515</v>
      </c>
      <c r="X102" s="60">
        <f t="shared" si="18"/>
        <v>-3029</v>
      </c>
      <c r="Y102" s="60">
        <f t="shared" si="18"/>
        <v>1090</v>
      </c>
      <c r="Z102" s="60">
        <f t="shared" si="18"/>
        <v>-7562</v>
      </c>
      <c r="AA102" s="60">
        <f t="shared" si="18"/>
        <v>-7886</v>
      </c>
      <c r="AB102" s="60">
        <f t="shared" si="18"/>
        <v>-9156</v>
      </c>
      <c r="AC102" s="60">
        <f t="shared" si="18"/>
        <v>-9251</v>
      </c>
    </row>
    <row r="103" spans="1:29" x14ac:dyDescent="0.25">
      <c r="A103" s="4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</row>
    <row r="104" spans="1:29" s="31" customFormat="1" x14ac:dyDescent="0.25">
      <c r="A104" s="30" t="s">
        <v>250</v>
      </c>
      <c r="B104" s="57">
        <f>+B102+B91+B78</f>
        <v>-14406</v>
      </c>
      <c r="C104" s="57">
        <f t="shared" ref="C104:AB104" si="19">+C102+C91+C78</f>
        <v>-2014</v>
      </c>
      <c r="D104" s="57">
        <f t="shared" si="19"/>
        <v>-1201</v>
      </c>
      <c r="E104" s="57">
        <f t="shared" si="19"/>
        <v>340</v>
      </c>
      <c r="F104" s="57">
        <f t="shared" si="19"/>
        <v>1393</v>
      </c>
      <c r="G104" s="57">
        <f t="shared" si="19"/>
        <v>1187</v>
      </c>
      <c r="H104" s="57">
        <f t="shared" si="19"/>
        <v>-2808</v>
      </c>
      <c r="I104" s="57">
        <f t="shared" si="19"/>
        <v>12447</v>
      </c>
      <c r="J104" s="57">
        <f t="shared" si="19"/>
        <v>-12162</v>
      </c>
      <c r="K104" s="57">
        <f>+K102+K91+K78</f>
        <v>3970</v>
      </c>
      <c r="L104" s="57">
        <f t="shared" si="19"/>
        <v>-2285</v>
      </c>
      <c r="M104" s="57">
        <f t="shared" si="19"/>
        <v>-839</v>
      </c>
      <c r="N104" s="57">
        <f t="shared" si="19"/>
        <v>684</v>
      </c>
      <c r="O104" s="57">
        <f t="shared" si="19"/>
        <v>1252</v>
      </c>
      <c r="P104" s="57">
        <f t="shared" si="19"/>
        <v>5274</v>
      </c>
      <c r="Q104" s="57">
        <f t="shared" si="19"/>
        <v>43230</v>
      </c>
      <c r="R104" s="57">
        <f t="shared" si="19"/>
        <v>-30164</v>
      </c>
      <c r="S104" s="57">
        <f t="shared" si="19"/>
        <v>-2158</v>
      </c>
      <c r="T104" s="57">
        <f>+T102+T91+T78</f>
        <v>-3783</v>
      </c>
      <c r="U104" s="57">
        <f t="shared" si="19"/>
        <v>3255</v>
      </c>
      <c r="V104" s="57">
        <f t="shared" si="19"/>
        <v>-10933</v>
      </c>
      <c r="W104" s="57">
        <f t="shared" si="19"/>
        <v>-2886</v>
      </c>
      <c r="X104" s="57">
        <f t="shared" si="19"/>
        <v>3892</v>
      </c>
      <c r="Y104" s="57">
        <f t="shared" si="19"/>
        <v>704</v>
      </c>
      <c r="Z104" s="57">
        <f t="shared" si="19"/>
        <v>-7436</v>
      </c>
      <c r="AA104" s="57">
        <f t="shared" si="19"/>
        <v>-2367</v>
      </c>
      <c r="AB104" s="57">
        <f t="shared" si="19"/>
        <v>2707</v>
      </c>
      <c r="AC104" s="57">
        <f>+AC102+AC91+AC78</f>
        <v>2531</v>
      </c>
    </row>
    <row r="105" spans="1:29" s="31" customFormat="1" x14ac:dyDescent="0.25">
      <c r="A105" s="32" t="s">
        <v>253</v>
      </c>
      <c r="B105" s="56">
        <v>0</v>
      </c>
      <c r="C105" s="56">
        <v>0</v>
      </c>
      <c r="D105" s="56">
        <v>0</v>
      </c>
      <c r="E105" s="56">
        <v>0</v>
      </c>
      <c r="F105" s="56">
        <v>0</v>
      </c>
      <c r="G105" s="56">
        <v>0</v>
      </c>
      <c r="H105" s="56">
        <v>0</v>
      </c>
      <c r="I105" s="56">
        <v>0</v>
      </c>
      <c r="J105" s="56">
        <v>0</v>
      </c>
      <c r="K105" s="56">
        <v>0</v>
      </c>
      <c r="L105" s="56">
        <v>0</v>
      </c>
      <c r="M105" s="56">
        <v>0</v>
      </c>
      <c r="N105" s="56">
        <v>0</v>
      </c>
      <c r="O105" s="56">
        <v>0</v>
      </c>
      <c r="P105" s="56">
        <v>0</v>
      </c>
      <c r="Q105" s="56">
        <v>0</v>
      </c>
      <c r="R105" s="56">
        <v>0</v>
      </c>
      <c r="S105" s="56">
        <v>-4275</v>
      </c>
      <c r="T105" s="56">
        <v>-4414</v>
      </c>
      <c r="U105" s="56">
        <v>-4691</v>
      </c>
      <c r="V105" s="56">
        <v>5193</v>
      </c>
      <c r="W105" s="56">
        <v>5254</v>
      </c>
      <c r="X105" s="56">
        <v>3489</v>
      </c>
      <c r="Y105" s="56">
        <v>3257</v>
      </c>
      <c r="Z105" s="56">
        <v>2488</v>
      </c>
      <c r="AA105" s="56">
        <v>2973</v>
      </c>
      <c r="AB105" s="56">
        <v>4439</v>
      </c>
      <c r="AC105" s="56">
        <v>2043</v>
      </c>
    </row>
    <row r="106" spans="1:29" s="31" customFormat="1" x14ac:dyDescent="0.25">
      <c r="A106" s="32" t="s">
        <v>255</v>
      </c>
      <c r="B106" s="56">
        <v>19673</v>
      </c>
      <c r="C106" s="56">
        <f>+B107</f>
        <v>5267</v>
      </c>
      <c r="D106" s="56">
        <f t="shared" ref="D106:AC106" si="20">+C107</f>
        <v>3253</v>
      </c>
      <c r="E106" s="56">
        <f t="shared" si="20"/>
        <v>2052</v>
      </c>
      <c r="F106" s="56">
        <f t="shared" si="20"/>
        <v>2392</v>
      </c>
      <c r="G106" s="56">
        <f t="shared" si="20"/>
        <v>3785</v>
      </c>
      <c r="H106" s="56">
        <f t="shared" si="20"/>
        <v>4972</v>
      </c>
      <c r="I106" s="56">
        <f t="shared" si="20"/>
        <v>2164</v>
      </c>
      <c r="J106" s="56">
        <f t="shared" si="20"/>
        <v>14611</v>
      </c>
      <c r="K106" s="56">
        <f t="shared" si="20"/>
        <v>2449</v>
      </c>
      <c r="L106" s="56">
        <f t="shared" si="20"/>
        <v>6419</v>
      </c>
      <c r="M106" s="56">
        <f t="shared" si="20"/>
        <v>4134</v>
      </c>
      <c r="N106" s="56">
        <f t="shared" si="20"/>
        <v>3295</v>
      </c>
      <c r="O106" s="56">
        <f t="shared" si="20"/>
        <v>3979</v>
      </c>
      <c r="P106" s="56">
        <f t="shared" si="20"/>
        <v>5231</v>
      </c>
      <c r="Q106" s="56">
        <f t="shared" si="20"/>
        <v>10505</v>
      </c>
      <c r="R106" s="56">
        <f t="shared" si="20"/>
        <v>53735</v>
      </c>
      <c r="S106" s="56">
        <f t="shared" si="20"/>
        <v>23571</v>
      </c>
      <c r="T106" s="56">
        <f t="shared" si="20"/>
        <v>17138</v>
      </c>
      <c r="U106" s="56">
        <f t="shared" si="20"/>
        <v>8941</v>
      </c>
      <c r="V106" s="56">
        <f t="shared" si="20"/>
        <v>7505</v>
      </c>
      <c r="W106" s="56">
        <f t="shared" si="20"/>
        <v>1765</v>
      </c>
      <c r="X106" s="56">
        <f t="shared" si="20"/>
        <v>4133</v>
      </c>
      <c r="Y106" s="56">
        <f t="shared" si="20"/>
        <v>11514</v>
      </c>
      <c r="Z106" s="56">
        <f t="shared" si="20"/>
        <v>15475</v>
      </c>
      <c r="AA106" s="56">
        <f t="shared" si="20"/>
        <v>10527</v>
      </c>
      <c r="AB106" s="56">
        <f t="shared" si="20"/>
        <v>11133</v>
      </c>
      <c r="AC106" s="56">
        <f t="shared" si="20"/>
        <v>18279</v>
      </c>
    </row>
    <row r="107" spans="1:29" s="31" customFormat="1" x14ac:dyDescent="0.25">
      <c r="A107" s="61" t="s">
        <v>256</v>
      </c>
      <c r="B107" s="62">
        <f>+SUM(B104:B106)</f>
        <v>5267</v>
      </c>
      <c r="C107" s="62">
        <f t="shared" ref="C107:AC107" si="21">+SUM(C104:C106)</f>
        <v>3253</v>
      </c>
      <c r="D107" s="62">
        <f t="shared" si="21"/>
        <v>2052</v>
      </c>
      <c r="E107" s="62">
        <f t="shared" si="21"/>
        <v>2392</v>
      </c>
      <c r="F107" s="62">
        <f t="shared" si="21"/>
        <v>3785</v>
      </c>
      <c r="G107" s="62">
        <f t="shared" si="21"/>
        <v>4972</v>
      </c>
      <c r="H107" s="62">
        <f t="shared" si="21"/>
        <v>2164</v>
      </c>
      <c r="I107" s="62">
        <f t="shared" si="21"/>
        <v>14611</v>
      </c>
      <c r="J107" s="62">
        <f t="shared" si="21"/>
        <v>2449</v>
      </c>
      <c r="K107" s="62">
        <f t="shared" si="21"/>
        <v>6419</v>
      </c>
      <c r="L107" s="62">
        <f t="shared" si="21"/>
        <v>4134</v>
      </c>
      <c r="M107" s="62">
        <f t="shared" si="21"/>
        <v>3295</v>
      </c>
      <c r="N107" s="62">
        <f t="shared" si="21"/>
        <v>3979</v>
      </c>
      <c r="O107" s="62">
        <f t="shared" si="21"/>
        <v>5231</v>
      </c>
      <c r="P107" s="62">
        <f t="shared" si="21"/>
        <v>10505</v>
      </c>
      <c r="Q107" s="62">
        <f t="shared" si="21"/>
        <v>53735</v>
      </c>
      <c r="R107" s="62">
        <f t="shared" si="21"/>
        <v>23571</v>
      </c>
      <c r="S107" s="62">
        <f t="shared" si="21"/>
        <v>17138</v>
      </c>
      <c r="T107" s="62">
        <f t="shared" si="21"/>
        <v>8941</v>
      </c>
      <c r="U107" s="62">
        <f t="shared" si="21"/>
        <v>7505</v>
      </c>
      <c r="V107" s="62">
        <f t="shared" si="21"/>
        <v>1765</v>
      </c>
      <c r="W107" s="62">
        <f t="shared" si="21"/>
        <v>4133</v>
      </c>
      <c r="X107" s="62">
        <f t="shared" si="21"/>
        <v>11514</v>
      </c>
      <c r="Y107" s="62">
        <f t="shared" si="21"/>
        <v>15475</v>
      </c>
      <c r="Z107" s="62">
        <f t="shared" si="21"/>
        <v>10527</v>
      </c>
      <c r="AA107" s="62">
        <f t="shared" si="21"/>
        <v>11133</v>
      </c>
      <c r="AB107" s="62">
        <f t="shared" si="21"/>
        <v>18279</v>
      </c>
      <c r="AC107" s="62">
        <f t="shared" si="21"/>
        <v>22853</v>
      </c>
    </row>
  </sheetData>
  <phoneticPr fontId="6" type="noConversion"/>
  <conditionalFormatting sqref="B2:AC17 F18:AC24 B18:E29 B30:AC65 B67:E67 B102:AC1048576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B68:AC101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80EF-914F-4952-B897-06FB56947110}">
  <dimension ref="A3:D15"/>
  <sheetViews>
    <sheetView workbookViewId="0">
      <selection activeCell="A4" sqref="A4"/>
    </sheetView>
  </sheetViews>
  <sheetFormatPr defaultRowHeight="15" x14ac:dyDescent="0.25"/>
  <cols>
    <col min="1" max="1" width="13.42578125" bestFit="1" customWidth="1"/>
    <col min="2" max="2" width="13.28515625" bestFit="1" customWidth="1"/>
    <col min="3" max="3" width="15.28515625" bestFit="1" customWidth="1"/>
    <col min="4" max="12" width="23.28515625" bestFit="1" customWidth="1"/>
    <col min="13" max="13" width="18.28515625" bestFit="1" customWidth="1"/>
    <col min="14" max="14" width="20.28515625" bestFit="1" customWidth="1"/>
    <col min="15" max="15" width="28.28515625" bestFit="1" customWidth="1"/>
    <col min="16" max="30" width="23.28515625" bestFit="1" customWidth="1"/>
    <col min="31" max="31" width="18.28515625" bestFit="1" customWidth="1"/>
    <col min="32" max="32" width="20.28515625" bestFit="1" customWidth="1"/>
    <col min="33" max="33" width="28.28515625" bestFit="1" customWidth="1"/>
  </cols>
  <sheetData>
    <row r="3" spans="1:4" x14ac:dyDescent="0.25">
      <c r="A3" s="64" t="s">
        <v>1853</v>
      </c>
      <c r="B3" t="s">
        <v>1850</v>
      </c>
      <c r="C3" t="s">
        <v>1851</v>
      </c>
      <c r="D3" t="s">
        <v>1852</v>
      </c>
    </row>
    <row r="4" spans="1:4" x14ac:dyDescent="0.25">
      <c r="A4" s="8" t="s">
        <v>1839</v>
      </c>
      <c r="B4" s="69"/>
      <c r="C4" s="69"/>
      <c r="D4" s="69"/>
    </row>
    <row r="5" spans="1:4" x14ac:dyDescent="0.25">
      <c r="A5" s="66" t="s">
        <v>1846</v>
      </c>
      <c r="B5" s="70">
        <v>400299</v>
      </c>
      <c r="C5" s="70">
        <v>28755</v>
      </c>
      <c r="D5" s="65">
        <v>-2.4030603373326378E-2</v>
      </c>
    </row>
    <row r="6" spans="1:4" x14ac:dyDescent="0.25">
      <c r="A6" s="66" t="s">
        <v>1847</v>
      </c>
      <c r="B6" s="70">
        <v>431516</v>
      </c>
      <c r="C6" s="70">
        <v>37458</v>
      </c>
      <c r="D6" s="65">
        <v>7.7259864381440543E-2</v>
      </c>
    </row>
    <row r="7" spans="1:4" x14ac:dyDescent="0.25">
      <c r="A7" s="66" t="s">
        <v>1848</v>
      </c>
      <c r="B7" s="70">
        <v>451222</v>
      </c>
      <c r="C7" s="70">
        <v>43791</v>
      </c>
      <c r="D7" s="65">
        <v>0.18691055239661117</v>
      </c>
    </row>
    <row r="8" spans="1:4" x14ac:dyDescent="0.25">
      <c r="A8" s="66" t="s">
        <v>1849</v>
      </c>
      <c r="B8" s="70">
        <v>451830</v>
      </c>
      <c r="C8" s="70">
        <v>38897</v>
      </c>
      <c r="D8" s="65">
        <v>0.1608350258374682</v>
      </c>
    </row>
    <row r="9" spans="1:4" x14ac:dyDescent="0.25">
      <c r="A9" s="8" t="s">
        <v>1840</v>
      </c>
      <c r="B9" s="70">
        <v>1995938</v>
      </c>
      <c r="C9" s="70">
        <v>155913</v>
      </c>
      <c r="D9" s="65">
        <v>0.10269829969277738</v>
      </c>
    </row>
    <row r="10" spans="1:4" x14ac:dyDescent="0.25">
      <c r="A10" s="8" t="s">
        <v>1841</v>
      </c>
      <c r="B10" s="70">
        <v>2165514</v>
      </c>
      <c r="C10" s="70">
        <v>168154</v>
      </c>
      <c r="D10" s="65">
        <v>5.2517335299784723E-2</v>
      </c>
    </row>
    <row r="11" spans="1:4" x14ac:dyDescent="0.25">
      <c r="A11" s="8" t="s">
        <v>1842</v>
      </c>
      <c r="B11" s="70">
        <v>3718043</v>
      </c>
      <c r="C11" s="70">
        <v>183509</v>
      </c>
      <c r="D11" s="65">
        <v>4.6706156101335626E-2</v>
      </c>
    </row>
    <row r="12" spans="1:4" x14ac:dyDescent="0.25">
      <c r="A12" s="8" t="s">
        <v>1843</v>
      </c>
      <c r="B12" s="70">
        <v>3387354</v>
      </c>
      <c r="C12" s="70">
        <v>89622</v>
      </c>
      <c r="D12" s="65">
        <v>-0.3010644707772645</v>
      </c>
    </row>
    <row r="13" spans="1:4" x14ac:dyDescent="0.25">
      <c r="A13" s="8" t="s">
        <v>1844</v>
      </c>
      <c r="B13" s="70">
        <v>3365929</v>
      </c>
      <c r="C13" s="70">
        <v>88347</v>
      </c>
      <c r="D13" s="65">
        <v>-0.22221467621990559</v>
      </c>
    </row>
    <row r="14" spans="1:4" x14ac:dyDescent="0.25">
      <c r="A14" s="8" t="s">
        <v>1845</v>
      </c>
      <c r="B14" s="70">
        <v>3467379</v>
      </c>
      <c r="C14" s="70">
        <v>152199</v>
      </c>
      <c r="D14" s="65">
        <v>7.3870393366579287E-2</v>
      </c>
    </row>
    <row r="15" spans="1:4" x14ac:dyDescent="0.25">
      <c r="A15" s="8" t="s">
        <v>1838</v>
      </c>
      <c r="B15" s="70">
        <v>19835024</v>
      </c>
      <c r="C15" s="70">
        <v>986645</v>
      </c>
      <c r="D15" s="65">
        <v>1.4885799857091457E-2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1351-EDB8-4AD5-AE8F-4088CEFE1374}">
  <dimension ref="A1:G1625"/>
  <sheetViews>
    <sheetView tabSelected="1" workbookViewId="0">
      <selection activeCell="A2" sqref="A2"/>
    </sheetView>
  </sheetViews>
  <sheetFormatPr defaultRowHeight="15" x14ac:dyDescent="0.25"/>
  <cols>
    <col min="1" max="1" width="81.140625" bestFit="1" customWidth="1"/>
    <col min="2" max="2" width="10.42578125" bestFit="1" customWidth="1"/>
    <col min="3" max="3" width="9" bestFit="1" customWidth="1"/>
    <col min="4" max="4" width="16.28515625" bestFit="1" customWidth="1"/>
    <col min="5" max="5" width="19.140625" bestFit="1" customWidth="1"/>
    <col min="6" max="6" width="23.7109375" bestFit="1" customWidth="1"/>
    <col min="7" max="7" width="18" bestFit="1" customWidth="1"/>
    <col min="8" max="32" width="10.42578125" bestFit="1" customWidth="1"/>
  </cols>
  <sheetData>
    <row r="1" spans="1:7" x14ac:dyDescent="0.25">
      <c r="A1" t="s">
        <v>7</v>
      </c>
      <c r="B1" t="s">
        <v>1854</v>
      </c>
      <c r="C1" t="s">
        <v>1855</v>
      </c>
      <c r="D1" t="s">
        <v>1856</v>
      </c>
      <c r="E1" t="s">
        <v>1857</v>
      </c>
      <c r="F1" t="s">
        <v>1858</v>
      </c>
      <c r="G1" t="s">
        <v>1859</v>
      </c>
    </row>
    <row r="2" spans="1:7" x14ac:dyDescent="0.25">
      <c r="A2" s="69" t="s">
        <v>90</v>
      </c>
      <c r="B2" s="71">
        <v>42460</v>
      </c>
      <c r="C2">
        <v>0</v>
      </c>
      <c r="D2" t="s">
        <v>1839</v>
      </c>
      <c r="E2" t="s">
        <v>1846</v>
      </c>
      <c r="F2">
        <v>3</v>
      </c>
      <c r="G2" t="s">
        <v>1860</v>
      </c>
    </row>
    <row r="3" spans="1:7" x14ac:dyDescent="0.25">
      <c r="A3" s="69" t="s">
        <v>90</v>
      </c>
      <c r="B3" s="71">
        <v>42551</v>
      </c>
      <c r="C3">
        <v>0</v>
      </c>
      <c r="D3" t="s">
        <v>1839</v>
      </c>
      <c r="E3" t="s">
        <v>1847</v>
      </c>
      <c r="F3">
        <v>6</v>
      </c>
      <c r="G3" t="s">
        <v>1861</v>
      </c>
    </row>
    <row r="4" spans="1:7" x14ac:dyDescent="0.25">
      <c r="A4" s="69" t="s">
        <v>90</v>
      </c>
      <c r="B4" s="71">
        <v>42643</v>
      </c>
      <c r="C4">
        <v>0</v>
      </c>
      <c r="D4" t="s">
        <v>1839</v>
      </c>
      <c r="E4" t="s">
        <v>1848</v>
      </c>
      <c r="F4">
        <v>9</v>
      </c>
      <c r="G4" t="s">
        <v>1862</v>
      </c>
    </row>
    <row r="5" spans="1:7" x14ac:dyDescent="0.25">
      <c r="A5" s="69" t="s">
        <v>103</v>
      </c>
      <c r="B5" s="71">
        <v>42460</v>
      </c>
      <c r="C5">
        <v>0</v>
      </c>
      <c r="D5" t="s">
        <v>1839</v>
      </c>
      <c r="E5" t="s">
        <v>1846</v>
      </c>
      <c r="F5">
        <v>3</v>
      </c>
      <c r="G5" t="s">
        <v>1860</v>
      </c>
    </row>
    <row r="6" spans="1:7" x14ac:dyDescent="0.25">
      <c r="A6" s="69" t="s">
        <v>103</v>
      </c>
      <c r="B6" s="71">
        <v>42551</v>
      </c>
      <c r="C6">
        <v>0</v>
      </c>
      <c r="D6" t="s">
        <v>1839</v>
      </c>
      <c r="E6" t="s">
        <v>1847</v>
      </c>
      <c r="F6">
        <v>6</v>
      </c>
      <c r="G6" t="s">
        <v>1861</v>
      </c>
    </row>
    <row r="7" spans="1:7" x14ac:dyDescent="0.25">
      <c r="A7" s="69" t="s">
        <v>103</v>
      </c>
      <c r="B7" s="71">
        <v>42643</v>
      </c>
      <c r="C7">
        <v>0</v>
      </c>
      <c r="D7" t="s">
        <v>1839</v>
      </c>
      <c r="E7" t="s">
        <v>1848</v>
      </c>
      <c r="F7">
        <v>9</v>
      </c>
      <c r="G7" t="s">
        <v>1862</v>
      </c>
    </row>
    <row r="8" spans="1:7" x14ac:dyDescent="0.25">
      <c r="A8" s="69" t="s">
        <v>103</v>
      </c>
      <c r="B8" s="71">
        <v>42825</v>
      </c>
      <c r="C8">
        <v>0</v>
      </c>
      <c r="D8" t="s">
        <v>1840</v>
      </c>
      <c r="E8" t="s">
        <v>1846</v>
      </c>
      <c r="F8">
        <v>3</v>
      </c>
      <c r="G8" t="s">
        <v>1860</v>
      </c>
    </row>
    <row r="9" spans="1:7" x14ac:dyDescent="0.25">
      <c r="A9" s="69" t="s">
        <v>103</v>
      </c>
      <c r="B9" s="71">
        <v>42916</v>
      </c>
      <c r="C9">
        <v>0</v>
      </c>
      <c r="D9" t="s">
        <v>1840</v>
      </c>
      <c r="E9" t="s">
        <v>1847</v>
      </c>
      <c r="F9">
        <v>6</v>
      </c>
      <c r="G9" t="s">
        <v>1861</v>
      </c>
    </row>
    <row r="10" spans="1:7" x14ac:dyDescent="0.25">
      <c r="A10" s="69" t="s">
        <v>103</v>
      </c>
      <c r="B10" s="71">
        <v>43008</v>
      </c>
      <c r="C10">
        <v>0</v>
      </c>
      <c r="D10" t="s">
        <v>1840</v>
      </c>
      <c r="E10" t="s">
        <v>1848</v>
      </c>
      <c r="F10">
        <v>9</v>
      </c>
      <c r="G10" t="s">
        <v>1862</v>
      </c>
    </row>
    <row r="11" spans="1:7" x14ac:dyDescent="0.25">
      <c r="A11" s="69" t="s">
        <v>103</v>
      </c>
      <c r="B11" s="71">
        <v>43100</v>
      </c>
      <c r="C11">
        <v>0</v>
      </c>
      <c r="D11" t="s">
        <v>1840</v>
      </c>
      <c r="E11" t="s">
        <v>1849</v>
      </c>
      <c r="F11">
        <v>12</v>
      </c>
      <c r="G11" t="s">
        <v>1863</v>
      </c>
    </row>
    <row r="12" spans="1:7" x14ac:dyDescent="0.25">
      <c r="A12" s="69" t="s">
        <v>103</v>
      </c>
      <c r="B12" s="71">
        <v>43190</v>
      </c>
      <c r="C12">
        <v>0</v>
      </c>
      <c r="D12" t="s">
        <v>1841</v>
      </c>
      <c r="E12" t="s">
        <v>1846</v>
      </c>
      <c r="F12">
        <v>3</v>
      </c>
      <c r="G12" t="s">
        <v>1860</v>
      </c>
    </row>
    <row r="13" spans="1:7" x14ac:dyDescent="0.25">
      <c r="A13" s="69" t="s">
        <v>103</v>
      </c>
      <c r="B13" s="71">
        <v>43281</v>
      </c>
      <c r="C13">
        <v>0</v>
      </c>
      <c r="D13" t="s">
        <v>1841</v>
      </c>
      <c r="E13" t="s">
        <v>1847</v>
      </c>
      <c r="F13">
        <v>6</v>
      </c>
      <c r="G13" t="s">
        <v>1861</v>
      </c>
    </row>
    <row r="14" spans="1:7" x14ac:dyDescent="0.25">
      <c r="A14" s="69" t="s">
        <v>103</v>
      </c>
      <c r="B14" s="71">
        <v>43373</v>
      </c>
      <c r="C14">
        <v>0</v>
      </c>
      <c r="D14" t="s">
        <v>1841</v>
      </c>
      <c r="E14" t="s">
        <v>1848</v>
      </c>
      <c r="F14">
        <v>9</v>
      </c>
      <c r="G14" t="s">
        <v>1862</v>
      </c>
    </row>
    <row r="15" spans="1:7" x14ac:dyDescent="0.25">
      <c r="A15" s="69" t="s">
        <v>103</v>
      </c>
      <c r="B15" s="71">
        <v>43465</v>
      </c>
      <c r="C15">
        <v>0</v>
      </c>
      <c r="D15" t="s">
        <v>1841</v>
      </c>
      <c r="E15" t="s">
        <v>1849</v>
      </c>
      <c r="F15">
        <v>12</v>
      </c>
      <c r="G15" t="s">
        <v>1863</v>
      </c>
    </row>
    <row r="16" spans="1:7" x14ac:dyDescent="0.25">
      <c r="A16" s="69" t="s">
        <v>103</v>
      </c>
      <c r="B16" s="71">
        <v>43555</v>
      </c>
      <c r="C16">
        <v>0</v>
      </c>
      <c r="D16" t="s">
        <v>1842</v>
      </c>
      <c r="E16" t="s">
        <v>1846</v>
      </c>
      <c r="F16">
        <v>3</v>
      </c>
      <c r="G16" t="s">
        <v>1860</v>
      </c>
    </row>
    <row r="17" spans="1:7" x14ac:dyDescent="0.25">
      <c r="A17" s="69" t="s">
        <v>103</v>
      </c>
      <c r="B17" s="71">
        <v>43646</v>
      </c>
      <c r="C17">
        <v>0</v>
      </c>
      <c r="D17" t="s">
        <v>1842</v>
      </c>
      <c r="E17" t="s">
        <v>1847</v>
      </c>
      <c r="F17">
        <v>6</v>
      </c>
      <c r="G17" t="s">
        <v>1861</v>
      </c>
    </row>
    <row r="18" spans="1:7" x14ac:dyDescent="0.25">
      <c r="A18" s="69" t="s">
        <v>103</v>
      </c>
      <c r="B18" s="71">
        <v>43738</v>
      </c>
      <c r="C18">
        <v>0</v>
      </c>
      <c r="D18" t="s">
        <v>1842</v>
      </c>
      <c r="E18" t="s">
        <v>1848</v>
      </c>
      <c r="F18">
        <v>9</v>
      </c>
      <c r="G18" t="s">
        <v>1862</v>
      </c>
    </row>
    <row r="19" spans="1:7" x14ac:dyDescent="0.25">
      <c r="A19" s="69" t="s">
        <v>103</v>
      </c>
      <c r="B19" s="71">
        <v>43830</v>
      </c>
      <c r="C19">
        <v>0</v>
      </c>
      <c r="D19" t="s">
        <v>1842</v>
      </c>
      <c r="E19" t="s">
        <v>1849</v>
      </c>
      <c r="F19">
        <v>12</v>
      </c>
      <c r="G19" t="s">
        <v>1863</v>
      </c>
    </row>
    <row r="20" spans="1:7" x14ac:dyDescent="0.25">
      <c r="A20" s="69" t="s">
        <v>103</v>
      </c>
      <c r="B20" s="71">
        <v>43921</v>
      </c>
      <c r="C20">
        <v>0</v>
      </c>
      <c r="D20" t="s">
        <v>1843</v>
      </c>
      <c r="E20" t="s">
        <v>1846</v>
      </c>
      <c r="F20">
        <v>3</v>
      </c>
      <c r="G20" t="s">
        <v>1860</v>
      </c>
    </row>
    <row r="21" spans="1:7" x14ac:dyDescent="0.25">
      <c r="A21" s="69" t="s">
        <v>103</v>
      </c>
      <c r="B21" s="71">
        <v>44012</v>
      </c>
      <c r="C21">
        <v>0</v>
      </c>
      <c r="D21" t="s">
        <v>1843</v>
      </c>
      <c r="E21" t="s">
        <v>1847</v>
      </c>
      <c r="F21">
        <v>6</v>
      </c>
      <c r="G21" t="s">
        <v>1861</v>
      </c>
    </row>
    <row r="22" spans="1:7" x14ac:dyDescent="0.25">
      <c r="A22" s="69" t="s">
        <v>103</v>
      </c>
      <c r="B22" s="71">
        <v>44104</v>
      </c>
      <c r="C22">
        <v>0</v>
      </c>
      <c r="D22" t="s">
        <v>1843</v>
      </c>
      <c r="E22" t="s">
        <v>1848</v>
      </c>
      <c r="F22">
        <v>9</v>
      </c>
      <c r="G22" t="s">
        <v>1862</v>
      </c>
    </row>
    <row r="23" spans="1:7" x14ac:dyDescent="0.25">
      <c r="A23" s="69" t="s">
        <v>103</v>
      </c>
      <c r="B23" s="71">
        <v>44286</v>
      </c>
      <c r="C23">
        <v>0</v>
      </c>
      <c r="D23" t="s">
        <v>1844</v>
      </c>
      <c r="E23" t="s">
        <v>1846</v>
      </c>
      <c r="F23">
        <v>3</v>
      </c>
      <c r="G23" t="s">
        <v>1860</v>
      </c>
    </row>
    <row r="24" spans="1:7" x14ac:dyDescent="0.25">
      <c r="A24" s="69" t="s">
        <v>103</v>
      </c>
      <c r="B24" s="71">
        <v>44377</v>
      </c>
      <c r="C24">
        <v>0</v>
      </c>
      <c r="D24" t="s">
        <v>1844</v>
      </c>
      <c r="E24" t="s">
        <v>1847</v>
      </c>
      <c r="F24">
        <v>6</v>
      </c>
      <c r="G24" t="s">
        <v>1861</v>
      </c>
    </row>
    <row r="25" spans="1:7" x14ac:dyDescent="0.25">
      <c r="A25" s="69" t="s">
        <v>103</v>
      </c>
      <c r="B25" s="71">
        <v>44469</v>
      </c>
      <c r="C25">
        <v>0</v>
      </c>
      <c r="D25" t="s">
        <v>1844</v>
      </c>
      <c r="E25" t="s">
        <v>1848</v>
      </c>
      <c r="F25">
        <v>9</v>
      </c>
      <c r="G25" t="s">
        <v>1862</v>
      </c>
    </row>
    <row r="26" spans="1:7" x14ac:dyDescent="0.25">
      <c r="A26" s="69" t="s">
        <v>103</v>
      </c>
      <c r="B26" s="71">
        <v>44561</v>
      </c>
      <c r="C26">
        <v>0</v>
      </c>
      <c r="D26" t="s">
        <v>1844</v>
      </c>
      <c r="E26" t="s">
        <v>1849</v>
      </c>
      <c r="F26">
        <v>12</v>
      </c>
      <c r="G26" t="s">
        <v>1863</v>
      </c>
    </row>
    <row r="27" spans="1:7" x14ac:dyDescent="0.25">
      <c r="A27" s="69" t="s">
        <v>103</v>
      </c>
      <c r="B27" s="71">
        <v>44651</v>
      </c>
      <c r="C27">
        <v>0</v>
      </c>
      <c r="D27" t="s">
        <v>1845</v>
      </c>
      <c r="E27" t="s">
        <v>1846</v>
      </c>
      <c r="F27">
        <v>3</v>
      </c>
      <c r="G27" t="s">
        <v>1860</v>
      </c>
    </row>
    <row r="28" spans="1:7" x14ac:dyDescent="0.25">
      <c r="A28" s="69" t="s">
        <v>103</v>
      </c>
      <c r="B28" s="71">
        <v>44742</v>
      </c>
      <c r="C28">
        <v>0</v>
      </c>
      <c r="D28" t="s">
        <v>1845</v>
      </c>
      <c r="E28" t="s">
        <v>1847</v>
      </c>
      <c r="F28">
        <v>6</v>
      </c>
      <c r="G28" t="s">
        <v>1861</v>
      </c>
    </row>
    <row r="29" spans="1:7" x14ac:dyDescent="0.25">
      <c r="A29" s="69" t="s">
        <v>103</v>
      </c>
      <c r="B29" s="71">
        <v>44834</v>
      </c>
      <c r="C29">
        <v>0</v>
      </c>
      <c r="D29" t="s">
        <v>1845</v>
      </c>
      <c r="E29" t="s">
        <v>1848</v>
      </c>
      <c r="F29">
        <v>9</v>
      </c>
      <c r="G29" t="s">
        <v>1862</v>
      </c>
    </row>
    <row r="30" spans="1:7" x14ac:dyDescent="0.25">
      <c r="A30" s="69" t="s">
        <v>103</v>
      </c>
      <c r="B30" s="71">
        <v>44926</v>
      </c>
      <c r="C30">
        <v>0</v>
      </c>
      <c r="D30" t="s">
        <v>1845</v>
      </c>
      <c r="E30" t="s">
        <v>1849</v>
      </c>
      <c r="F30">
        <v>12</v>
      </c>
      <c r="G30" t="s">
        <v>1863</v>
      </c>
    </row>
    <row r="31" spans="1:7" x14ac:dyDescent="0.25">
      <c r="A31" s="69" t="s">
        <v>1723</v>
      </c>
      <c r="B31" s="71">
        <v>42460</v>
      </c>
      <c r="C31">
        <v>0</v>
      </c>
      <c r="D31" t="s">
        <v>1839</v>
      </c>
      <c r="E31" t="s">
        <v>1846</v>
      </c>
      <c r="F31">
        <v>3</v>
      </c>
      <c r="G31" t="s">
        <v>1860</v>
      </c>
    </row>
    <row r="32" spans="1:7" x14ac:dyDescent="0.25">
      <c r="A32" s="69" t="s">
        <v>1723</v>
      </c>
      <c r="B32" s="71">
        <v>42551</v>
      </c>
      <c r="C32">
        <v>0</v>
      </c>
      <c r="D32" t="s">
        <v>1839</v>
      </c>
      <c r="E32" t="s">
        <v>1847</v>
      </c>
      <c r="F32">
        <v>6</v>
      </c>
      <c r="G32" t="s">
        <v>1861</v>
      </c>
    </row>
    <row r="33" spans="1:7" x14ac:dyDescent="0.25">
      <c r="A33" s="69" t="s">
        <v>1723</v>
      </c>
      <c r="B33" s="71">
        <v>42825</v>
      </c>
      <c r="C33">
        <v>0</v>
      </c>
      <c r="D33" t="s">
        <v>1840</v>
      </c>
      <c r="E33" t="s">
        <v>1846</v>
      </c>
      <c r="F33">
        <v>3</v>
      </c>
      <c r="G33" t="s">
        <v>1860</v>
      </c>
    </row>
    <row r="34" spans="1:7" x14ac:dyDescent="0.25">
      <c r="A34" s="69" t="s">
        <v>1723</v>
      </c>
      <c r="B34" s="71">
        <v>44104</v>
      </c>
      <c r="C34">
        <v>0</v>
      </c>
      <c r="D34" t="s">
        <v>1843</v>
      </c>
      <c r="E34" t="s">
        <v>1848</v>
      </c>
      <c r="F34">
        <v>9</v>
      </c>
      <c r="G34" t="s">
        <v>1862</v>
      </c>
    </row>
    <row r="35" spans="1:7" x14ac:dyDescent="0.25">
      <c r="A35" s="69" t="s">
        <v>1723</v>
      </c>
      <c r="B35" s="71">
        <v>44196</v>
      </c>
      <c r="C35">
        <v>0</v>
      </c>
      <c r="D35" t="s">
        <v>1843</v>
      </c>
      <c r="E35" t="s">
        <v>1849</v>
      </c>
      <c r="F35">
        <v>12</v>
      </c>
      <c r="G35" t="s">
        <v>1863</v>
      </c>
    </row>
    <row r="36" spans="1:7" x14ac:dyDescent="0.25">
      <c r="A36" s="69" t="s">
        <v>1723</v>
      </c>
      <c r="B36" s="71">
        <v>44651</v>
      </c>
      <c r="C36">
        <v>0</v>
      </c>
      <c r="D36" t="s">
        <v>1845</v>
      </c>
      <c r="E36" t="s">
        <v>1846</v>
      </c>
      <c r="F36">
        <v>3</v>
      </c>
      <c r="G36" t="s">
        <v>1860</v>
      </c>
    </row>
    <row r="37" spans="1:7" x14ac:dyDescent="0.25">
      <c r="A37" s="69" t="s">
        <v>1723</v>
      </c>
      <c r="B37" s="71">
        <v>44742</v>
      </c>
      <c r="C37">
        <v>0</v>
      </c>
      <c r="D37" t="s">
        <v>1845</v>
      </c>
      <c r="E37" t="s">
        <v>1847</v>
      </c>
      <c r="F37">
        <v>6</v>
      </c>
      <c r="G37" t="s">
        <v>1861</v>
      </c>
    </row>
    <row r="38" spans="1:7" x14ac:dyDescent="0.25">
      <c r="A38" s="69" t="s">
        <v>14</v>
      </c>
      <c r="B38" s="71">
        <v>42460</v>
      </c>
      <c r="C38">
        <v>0</v>
      </c>
      <c r="D38" t="s">
        <v>1839</v>
      </c>
      <c r="E38" t="s">
        <v>1846</v>
      </c>
      <c r="F38">
        <v>3</v>
      </c>
      <c r="G38" t="s">
        <v>1860</v>
      </c>
    </row>
    <row r="39" spans="1:7" x14ac:dyDescent="0.25">
      <c r="A39" s="69" t="s">
        <v>14</v>
      </c>
      <c r="B39" s="71">
        <v>42551</v>
      </c>
      <c r="C39">
        <v>0</v>
      </c>
      <c r="D39" t="s">
        <v>1839</v>
      </c>
      <c r="E39" t="s">
        <v>1847</v>
      </c>
      <c r="F39">
        <v>6</v>
      </c>
      <c r="G39" t="s">
        <v>1861</v>
      </c>
    </row>
    <row r="40" spans="1:7" x14ac:dyDescent="0.25">
      <c r="A40" s="69" t="s">
        <v>14</v>
      </c>
      <c r="B40" s="71">
        <v>42643</v>
      </c>
      <c r="C40">
        <v>0</v>
      </c>
      <c r="D40" t="s">
        <v>1839</v>
      </c>
      <c r="E40" t="s">
        <v>1848</v>
      </c>
      <c r="F40">
        <v>9</v>
      </c>
      <c r="G40" t="s">
        <v>1862</v>
      </c>
    </row>
    <row r="41" spans="1:7" x14ac:dyDescent="0.25">
      <c r="A41" s="69" t="s">
        <v>14</v>
      </c>
      <c r="B41" s="71">
        <v>42735</v>
      </c>
      <c r="C41">
        <v>0</v>
      </c>
      <c r="D41" t="s">
        <v>1839</v>
      </c>
      <c r="E41" t="s">
        <v>1849</v>
      </c>
      <c r="F41">
        <v>12</v>
      </c>
      <c r="G41" t="s">
        <v>1863</v>
      </c>
    </row>
    <row r="42" spans="1:7" x14ac:dyDescent="0.25">
      <c r="A42" s="69" t="s">
        <v>14</v>
      </c>
      <c r="B42" s="71">
        <v>42825</v>
      </c>
      <c r="C42">
        <v>0</v>
      </c>
      <c r="D42" t="s">
        <v>1840</v>
      </c>
      <c r="E42" t="s">
        <v>1846</v>
      </c>
      <c r="F42">
        <v>3</v>
      </c>
      <c r="G42" t="s">
        <v>1860</v>
      </c>
    </row>
    <row r="43" spans="1:7" x14ac:dyDescent="0.25">
      <c r="A43" s="69" t="s">
        <v>14</v>
      </c>
      <c r="B43" s="71">
        <v>42916</v>
      </c>
      <c r="C43">
        <v>0</v>
      </c>
      <c r="D43" t="s">
        <v>1840</v>
      </c>
      <c r="E43" t="s">
        <v>1847</v>
      </c>
      <c r="F43">
        <v>6</v>
      </c>
      <c r="G43" t="s">
        <v>1861</v>
      </c>
    </row>
    <row r="44" spans="1:7" x14ac:dyDescent="0.25">
      <c r="A44" s="69" t="s">
        <v>14</v>
      </c>
      <c r="B44" s="71">
        <v>43008</v>
      </c>
      <c r="C44">
        <v>0</v>
      </c>
      <c r="D44" t="s">
        <v>1840</v>
      </c>
      <c r="E44" t="s">
        <v>1848</v>
      </c>
      <c r="F44">
        <v>9</v>
      </c>
      <c r="G44" t="s">
        <v>1862</v>
      </c>
    </row>
    <row r="45" spans="1:7" x14ac:dyDescent="0.25">
      <c r="A45" s="69" t="s">
        <v>14</v>
      </c>
      <c r="B45" s="71">
        <v>43100</v>
      </c>
      <c r="C45">
        <v>0</v>
      </c>
      <c r="D45" t="s">
        <v>1840</v>
      </c>
      <c r="E45" t="s">
        <v>1849</v>
      </c>
      <c r="F45">
        <v>12</v>
      </c>
      <c r="G45" t="s">
        <v>1863</v>
      </c>
    </row>
    <row r="46" spans="1:7" x14ac:dyDescent="0.25">
      <c r="A46" s="69" t="s">
        <v>14</v>
      </c>
      <c r="B46" s="71">
        <v>43190</v>
      </c>
      <c r="C46">
        <v>0</v>
      </c>
      <c r="D46" t="s">
        <v>1841</v>
      </c>
      <c r="E46" t="s">
        <v>1846</v>
      </c>
      <c r="F46">
        <v>3</v>
      </c>
      <c r="G46" t="s">
        <v>1860</v>
      </c>
    </row>
    <row r="47" spans="1:7" x14ac:dyDescent="0.25">
      <c r="A47" s="69" t="s">
        <v>14</v>
      </c>
      <c r="B47" s="71">
        <v>43281</v>
      </c>
      <c r="C47">
        <v>0</v>
      </c>
      <c r="D47" t="s">
        <v>1841</v>
      </c>
      <c r="E47" t="s">
        <v>1847</v>
      </c>
      <c r="F47">
        <v>6</v>
      </c>
      <c r="G47" t="s">
        <v>1861</v>
      </c>
    </row>
    <row r="48" spans="1:7" x14ac:dyDescent="0.25">
      <c r="A48" s="69" t="s">
        <v>14</v>
      </c>
      <c r="B48" s="71">
        <v>43373</v>
      </c>
      <c r="C48">
        <v>0</v>
      </c>
      <c r="D48" t="s">
        <v>1841</v>
      </c>
      <c r="E48" t="s">
        <v>1848</v>
      </c>
      <c r="F48">
        <v>9</v>
      </c>
      <c r="G48" t="s">
        <v>1862</v>
      </c>
    </row>
    <row r="49" spans="1:7" x14ac:dyDescent="0.25">
      <c r="A49" s="69" t="s">
        <v>14</v>
      </c>
      <c r="B49" s="71">
        <v>43465</v>
      </c>
      <c r="C49">
        <v>0</v>
      </c>
      <c r="D49" t="s">
        <v>1841</v>
      </c>
      <c r="E49" t="s">
        <v>1849</v>
      </c>
      <c r="F49">
        <v>12</v>
      </c>
      <c r="G49" t="s">
        <v>1863</v>
      </c>
    </row>
    <row r="50" spans="1:7" x14ac:dyDescent="0.25">
      <c r="A50" s="69" t="s">
        <v>14</v>
      </c>
      <c r="B50" s="71">
        <v>43555</v>
      </c>
      <c r="C50">
        <v>0</v>
      </c>
      <c r="D50" t="s">
        <v>1842</v>
      </c>
      <c r="E50" t="s">
        <v>1846</v>
      </c>
      <c r="F50">
        <v>3</v>
      </c>
      <c r="G50" t="s">
        <v>1860</v>
      </c>
    </row>
    <row r="51" spans="1:7" x14ac:dyDescent="0.25">
      <c r="A51" s="69" t="s">
        <v>14</v>
      </c>
      <c r="B51" s="71">
        <v>43646</v>
      </c>
      <c r="C51">
        <v>0</v>
      </c>
      <c r="D51" t="s">
        <v>1842</v>
      </c>
      <c r="E51" t="s">
        <v>1847</v>
      </c>
      <c r="F51">
        <v>6</v>
      </c>
      <c r="G51" t="s">
        <v>1861</v>
      </c>
    </row>
    <row r="52" spans="1:7" x14ac:dyDescent="0.25">
      <c r="A52" s="69" t="s">
        <v>14</v>
      </c>
      <c r="B52" s="71">
        <v>43738</v>
      </c>
      <c r="C52">
        <v>0</v>
      </c>
      <c r="D52" t="s">
        <v>1842</v>
      </c>
      <c r="E52" t="s">
        <v>1848</v>
      </c>
      <c r="F52">
        <v>9</v>
      </c>
      <c r="G52" t="s">
        <v>1862</v>
      </c>
    </row>
    <row r="53" spans="1:7" x14ac:dyDescent="0.25">
      <c r="A53" s="69" t="s">
        <v>14</v>
      </c>
      <c r="B53" s="71">
        <v>43921</v>
      </c>
      <c r="C53">
        <v>0</v>
      </c>
      <c r="D53" t="s">
        <v>1843</v>
      </c>
      <c r="E53" t="s">
        <v>1846</v>
      </c>
      <c r="F53">
        <v>3</v>
      </c>
      <c r="G53" t="s">
        <v>1860</v>
      </c>
    </row>
    <row r="54" spans="1:7" x14ac:dyDescent="0.25">
      <c r="A54" s="69" t="s">
        <v>14</v>
      </c>
      <c r="B54" s="71">
        <v>44012</v>
      </c>
      <c r="C54">
        <v>0</v>
      </c>
      <c r="D54" t="s">
        <v>1843</v>
      </c>
      <c r="E54" t="s">
        <v>1847</v>
      </c>
      <c r="F54">
        <v>6</v>
      </c>
      <c r="G54" t="s">
        <v>1861</v>
      </c>
    </row>
    <row r="55" spans="1:7" x14ac:dyDescent="0.25">
      <c r="A55" s="69" t="s">
        <v>14</v>
      </c>
      <c r="B55" s="71">
        <v>44104</v>
      </c>
      <c r="C55">
        <v>0</v>
      </c>
      <c r="D55" t="s">
        <v>1843</v>
      </c>
      <c r="E55" t="s">
        <v>1848</v>
      </c>
      <c r="F55">
        <v>9</v>
      </c>
      <c r="G55" t="s">
        <v>1862</v>
      </c>
    </row>
    <row r="56" spans="1:7" x14ac:dyDescent="0.25">
      <c r="A56" s="69" t="s">
        <v>14</v>
      </c>
      <c r="B56" s="71">
        <v>44196</v>
      </c>
      <c r="C56">
        <v>0</v>
      </c>
      <c r="D56" t="s">
        <v>1843</v>
      </c>
      <c r="E56" t="s">
        <v>1849</v>
      </c>
      <c r="F56">
        <v>12</v>
      </c>
      <c r="G56" t="s">
        <v>1863</v>
      </c>
    </row>
    <row r="57" spans="1:7" x14ac:dyDescent="0.25">
      <c r="A57" s="69" t="s">
        <v>14</v>
      </c>
      <c r="B57" s="71">
        <v>44286</v>
      </c>
      <c r="C57">
        <v>0</v>
      </c>
      <c r="D57" t="s">
        <v>1844</v>
      </c>
      <c r="E57" t="s">
        <v>1846</v>
      </c>
      <c r="F57">
        <v>3</v>
      </c>
      <c r="G57" t="s">
        <v>1860</v>
      </c>
    </row>
    <row r="58" spans="1:7" x14ac:dyDescent="0.25">
      <c r="A58" s="69" t="s">
        <v>14</v>
      </c>
      <c r="B58" s="71">
        <v>44377</v>
      </c>
      <c r="C58">
        <v>0</v>
      </c>
      <c r="D58" t="s">
        <v>1844</v>
      </c>
      <c r="E58" t="s">
        <v>1847</v>
      </c>
      <c r="F58">
        <v>6</v>
      </c>
      <c r="G58" t="s">
        <v>1861</v>
      </c>
    </row>
    <row r="59" spans="1:7" x14ac:dyDescent="0.25">
      <c r="A59" s="69" t="s">
        <v>14</v>
      </c>
      <c r="B59" s="71">
        <v>44469</v>
      </c>
      <c r="C59">
        <v>0</v>
      </c>
      <c r="D59" t="s">
        <v>1844</v>
      </c>
      <c r="E59" t="s">
        <v>1848</v>
      </c>
      <c r="F59">
        <v>9</v>
      </c>
      <c r="G59" t="s">
        <v>1862</v>
      </c>
    </row>
    <row r="60" spans="1:7" x14ac:dyDescent="0.25">
      <c r="A60" s="69" t="s">
        <v>14</v>
      </c>
      <c r="B60" s="71">
        <v>44561</v>
      </c>
      <c r="C60">
        <v>0</v>
      </c>
      <c r="D60" t="s">
        <v>1844</v>
      </c>
      <c r="E60" t="s">
        <v>1849</v>
      </c>
      <c r="F60">
        <v>12</v>
      </c>
      <c r="G60" t="s">
        <v>1863</v>
      </c>
    </row>
    <row r="61" spans="1:7" x14ac:dyDescent="0.25">
      <c r="A61" s="69" t="s">
        <v>14</v>
      </c>
      <c r="B61" s="71">
        <v>44651</v>
      </c>
      <c r="C61">
        <v>0</v>
      </c>
      <c r="D61" t="s">
        <v>1845</v>
      </c>
      <c r="E61" t="s">
        <v>1846</v>
      </c>
      <c r="F61">
        <v>3</v>
      </c>
      <c r="G61" t="s">
        <v>1860</v>
      </c>
    </row>
    <row r="62" spans="1:7" x14ac:dyDescent="0.25">
      <c r="A62" s="69" t="s">
        <v>14</v>
      </c>
      <c r="B62" s="71">
        <v>44742</v>
      </c>
      <c r="C62">
        <v>0</v>
      </c>
      <c r="D62" t="s">
        <v>1845</v>
      </c>
      <c r="E62" t="s">
        <v>1847</v>
      </c>
      <c r="F62">
        <v>6</v>
      </c>
      <c r="G62" t="s">
        <v>1861</v>
      </c>
    </row>
    <row r="63" spans="1:7" x14ac:dyDescent="0.25">
      <c r="A63" s="69" t="s">
        <v>14</v>
      </c>
      <c r="B63" s="71">
        <v>44834</v>
      </c>
      <c r="C63">
        <v>0</v>
      </c>
      <c r="D63" t="s">
        <v>1845</v>
      </c>
      <c r="E63" t="s">
        <v>1848</v>
      </c>
      <c r="F63">
        <v>9</v>
      </c>
      <c r="G63" t="s">
        <v>1862</v>
      </c>
    </row>
    <row r="64" spans="1:7" x14ac:dyDescent="0.25">
      <c r="A64" s="69" t="s">
        <v>14</v>
      </c>
      <c r="B64" s="71">
        <v>44926</v>
      </c>
      <c r="C64">
        <v>0</v>
      </c>
      <c r="D64" t="s">
        <v>1845</v>
      </c>
      <c r="E64" t="s">
        <v>1849</v>
      </c>
      <c r="F64">
        <v>12</v>
      </c>
      <c r="G64" t="s">
        <v>1863</v>
      </c>
    </row>
    <row r="65" spans="1:7" x14ac:dyDescent="0.25">
      <c r="A65" s="69" t="s">
        <v>36</v>
      </c>
      <c r="B65" s="71">
        <v>42460</v>
      </c>
      <c r="C65">
        <v>0</v>
      </c>
      <c r="D65" t="s">
        <v>1839</v>
      </c>
      <c r="E65" t="s">
        <v>1846</v>
      </c>
      <c r="F65">
        <v>3</v>
      </c>
      <c r="G65" t="s">
        <v>1860</v>
      </c>
    </row>
    <row r="66" spans="1:7" x14ac:dyDescent="0.25">
      <c r="A66" s="69" t="s">
        <v>36</v>
      </c>
      <c r="B66" s="71">
        <v>42551</v>
      </c>
      <c r="C66">
        <v>0</v>
      </c>
      <c r="D66" t="s">
        <v>1839</v>
      </c>
      <c r="E66" t="s">
        <v>1847</v>
      </c>
      <c r="F66">
        <v>6</v>
      </c>
      <c r="G66" t="s">
        <v>1861</v>
      </c>
    </row>
    <row r="67" spans="1:7" x14ac:dyDescent="0.25">
      <c r="A67" s="69" t="s">
        <v>36</v>
      </c>
      <c r="B67" s="71">
        <v>42643</v>
      </c>
      <c r="C67">
        <v>0</v>
      </c>
      <c r="D67" t="s">
        <v>1839</v>
      </c>
      <c r="E67" t="s">
        <v>1848</v>
      </c>
      <c r="F67">
        <v>9</v>
      </c>
      <c r="G67" t="s">
        <v>1862</v>
      </c>
    </row>
    <row r="68" spans="1:7" x14ac:dyDescent="0.25">
      <c r="A68" s="69" t="s">
        <v>36</v>
      </c>
      <c r="B68" s="71">
        <v>42735</v>
      </c>
      <c r="C68">
        <v>0</v>
      </c>
      <c r="D68" t="s">
        <v>1839</v>
      </c>
      <c r="E68" t="s">
        <v>1849</v>
      </c>
      <c r="F68">
        <v>12</v>
      </c>
      <c r="G68" t="s">
        <v>1863</v>
      </c>
    </row>
    <row r="69" spans="1:7" x14ac:dyDescent="0.25">
      <c r="A69" s="69" t="s">
        <v>36</v>
      </c>
      <c r="B69" s="71">
        <v>42825</v>
      </c>
      <c r="C69">
        <v>0</v>
      </c>
      <c r="D69" t="s">
        <v>1840</v>
      </c>
      <c r="E69" t="s">
        <v>1846</v>
      </c>
      <c r="F69">
        <v>3</v>
      </c>
      <c r="G69" t="s">
        <v>1860</v>
      </c>
    </row>
    <row r="70" spans="1:7" x14ac:dyDescent="0.25">
      <c r="A70" s="69" t="s">
        <v>36</v>
      </c>
      <c r="B70" s="71">
        <v>42916</v>
      </c>
      <c r="C70">
        <v>0</v>
      </c>
      <c r="D70" t="s">
        <v>1840</v>
      </c>
      <c r="E70" t="s">
        <v>1847</v>
      </c>
      <c r="F70">
        <v>6</v>
      </c>
      <c r="G70" t="s">
        <v>1861</v>
      </c>
    </row>
    <row r="71" spans="1:7" x14ac:dyDescent="0.25">
      <c r="A71" s="69" t="s">
        <v>36</v>
      </c>
      <c r="B71" s="71">
        <v>43008</v>
      </c>
      <c r="C71">
        <v>0</v>
      </c>
      <c r="D71" t="s">
        <v>1840</v>
      </c>
      <c r="E71" t="s">
        <v>1848</v>
      </c>
      <c r="F71">
        <v>9</v>
      </c>
      <c r="G71" t="s">
        <v>1862</v>
      </c>
    </row>
    <row r="72" spans="1:7" x14ac:dyDescent="0.25">
      <c r="A72" s="69" t="s">
        <v>36</v>
      </c>
      <c r="B72" s="71">
        <v>43100</v>
      </c>
      <c r="C72">
        <v>0</v>
      </c>
      <c r="D72" t="s">
        <v>1840</v>
      </c>
      <c r="E72" t="s">
        <v>1849</v>
      </c>
      <c r="F72">
        <v>12</v>
      </c>
      <c r="G72" t="s">
        <v>1863</v>
      </c>
    </row>
    <row r="73" spans="1:7" x14ac:dyDescent="0.25">
      <c r="A73" s="69" t="s">
        <v>36</v>
      </c>
      <c r="B73" s="71">
        <v>43190</v>
      </c>
      <c r="C73">
        <v>0</v>
      </c>
      <c r="D73" t="s">
        <v>1841</v>
      </c>
      <c r="E73" t="s">
        <v>1846</v>
      </c>
      <c r="F73">
        <v>3</v>
      </c>
      <c r="G73" t="s">
        <v>1860</v>
      </c>
    </row>
    <row r="74" spans="1:7" x14ac:dyDescent="0.25">
      <c r="A74" s="69" t="s">
        <v>36</v>
      </c>
      <c r="B74" s="71">
        <v>43281</v>
      </c>
      <c r="C74">
        <v>0</v>
      </c>
      <c r="D74" t="s">
        <v>1841</v>
      </c>
      <c r="E74" t="s">
        <v>1847</v>
      </c>
      <c r="F74">
        <v>6</v>
      </c>
      <c r="G74" t="s">
        <v>1861</v>
      </c>
    </row>
    <row r="75" spans="1:7" x14ac:dyDescent="0.25">
      <c r="A75" s="69" t="s">
        <v>36</v>
      </c>
      <c r="B75" s="71">
        <v>43373</v>
      </c>
      <c r="C75">
        <v>0</v>
      </c>
      <c r="D75" t="s">
        <v>1841</v>
      </c>
      <c r="E75" t="s">
        <v>1848</v>
      </c>
      <c r="F75">
        <v>9</v>
      </c>
      <c r="G75" t="s">
        <v>1862</v>
      </c>
    </row>
    <row r="76" spans="1:7" x14ac:dyDescent="0.25">
      <c r="A76" s="69" t="s">
        <v>36</v>
      </c>
      <c r="B76" s="71">
        <v>43465</v>
      </c>
      <c r="C76">
        <v>0</v>
      </c>
      <c r="D76" t="s">
        <v>1841</v>
      </c>
      <c r="E76" t="s">
        <v>1849</v>
      </c>
      <c r="F76">
        <v>12</v>
      </c>
      <c r="G76" t="s">
        <v>1863</v>
      </c>
    </row>
    <row r="77" spans="1:7" x14ac:dyDescent="0.25">
      <c r="A77" s="69" t="s">
        <v>36</v>
      </c>
      <c r="B77" s="71">
        <v>43555</v>
      </c>
      <c r="C77">
        <v>0</v>
      </c>
      <c r="D77" t="s">
        <v>1842</v>
      </c>
      <c r="E77" t="s">
        <v>1846</v>
      </c>
      <c r="F77">
        <v>3</v>
      </c>
      <c r="G77" t="s">
        <v>1860</v>
      </c>
    </row>
    <row r="78" spans="1:7" x14ac:dyDescent="0.25">
      <c r="A78" s="69" t="s">
        <v>36</v>
      </c>
      <c r="B78" s="71">
        <v>43646</v>
      </c>
      <c r="C78">
        <v>0</v>
      </c>
      <c r="D78" t="s">
        <v>1842</v>
      </c>
      <c r="E78" t="s">
        <v>1847</v>
      </c>
      <c r="F78">
        <v>6</v>
      </c>
      <c r="G78" t="s">
        <v>1861</v>
      </c>
    </row>
    <row r="79" spans="1:7" x14ac:dyDescent="0.25">
      <c r="A79" s="69" t="s">
        <v>36</v>
      </c>
      <c r="B79" s="71">
        <v>43738</v>
      </c>
      <c r="C79">
        <v>0</v>
      </c>
      <c r="D79" t="s">
        <v>1842</v>
      </c>
      <c r="E79" t="s">
        <v>1848</v>
      </c>
      <c r="F79">
        <v>9</v>
      </c>
      <c r="G79" t="s">
        <v>1862</v>
      </c>
    </row>
    <row r="80" spans="1:7" x14ac:dyDescent="0.25">
      <c r="A80" s="69" t="s">
        <v>36</v>
      </c>
      <c r="B80" s="71">
        <v>43830</v>
      </c>
      <c r="C80">
        <v>0</v>
      </c>
      <c r="D80" t="s">
        <v>1842</v>
      </c>
      <c r="E80" t="s">
        <v>1849</v>
      </c>
      <c r="F80">
        <v>12</v>
      </c>
      <c r="G80" t="s">
        <v>1863</v>
      </c>
    </row>
    <row r="81" spans="1:7" x14ac:dyDescent="0.25">
      <c r="A81" s="69" t="s">
        <v>36</v>
      </c>
      <c r="B81" s="71">
        <v>43921</v>
      </c>
      <c r="C81">
        <v>0</v>
      </c>
      <c r="D81" t="s">
        <v>1843</v>
      </c>
      <c r="E81" t="s">
        <v>1846</v>
      </c>
      <c r="F81">
        <v>3</v>
      </c>
      <c r="G81" t="s">
        <v>1860</v>
      </c>
    </row>
    <row r="82" spans="1:7" x14ac:dyDescent="0.25">
      <c r="A82" s="69" t="s">
        <v>36</v>
      </c>
      <c r="B82" s="71">
        <v>44012</v>
      </c>
      <c r="C82">
        <v>0</v>
      </c>
      <c r="D82" t="s">
        <v>1843</v>
      </c>
      <c r="E82" t="s">
        <v>1847</v>
      </c>
      <c r="F82">
        <v>6</v>
      </c>
      <c r="G82" t="s">
        <v>1861</v>
      </c>
    </row>
    <row r="83" spans="1:7" x14ac:dyDescent="0.25">
      <c r="A83" s="69" t="s">
        <v>36</v>
      </c>
      <c r="B83" s="71">
        <v>44104</v>
      </c>
      <c r="C83">
        <v>0</v>
      </c>
      <c r="D83" t="s">
        <v>1843</v>
      </c>
      <c r="E83" t="s">
        <v>1848</v>
      </c>
      <c r="F83">
        <v>9</v>
      </c>
      <c r="G83" t="s">
        <v>1862</v>
      </c>
    </row>
    <row r="84" spans="1:7" x14ac:dyDescent="0.25">
      <c r="A84" s="69" t="s">
        <v>36</v>
      </c>
      <c r="B84" s="71">
        <v>44196</v>
      </c>
      <c r="C84">
        <v>0</v>
      </c>
      <c r="D84" t="s">
        <v>1843</v>
      </c>
      <c r="E84" t="s">
        <v>1849</v>
      </c>
      <c r="F84">
        <v>12</v>
      </c>
      <c r="G84" t="s">
        <v>1863</v>
      </c>
    </row>
    <row r="85" spans="1:7" x14ac:dyDescent="0.25">
      <c r="A85" s="69" t="s">
        <v>23</v>
      </c>
      <c r="B85" s="71">
        <v>42460</v>
      </c>
      <c r="C85">
        <v>0</v>
      </c>
      <c r="D85" t="s">
        <v>1839</v>
      </c>
      <c r="E85" t="s">
        <v>1846</v>
      </c>
      <c r="F85">
        <v>3</v>
      </c>
      <c r="G85" t="s">
        <v>1860</v>
      </c>
    </row>
    <row r="86" spans="1:7" x14ac:dyDescent="0.25">
      <c r="A86" s="69" t="s">
        <v>23</v>
      </c>
      <c r="B86" s="71">
        <v>42551</v>
      </c>
      <c r="C86">
        <v>0</v>
      </c>
      <c r="D86" t="s">
        <v>1839</v>
      </c>
      <c r="E86" t="s">
        <v>1847</v>
      </c>
      <c r="F86">
        <v>6</v>
      </c>
      <c r="G86" t="s">
        <v>1861</v>
      </c>
    </row>
    <row r="87" spans="1:7" x14ac:dyDescent="0.25">
      <c r="A87" s="69" t="s">
        <v>23</v>
      </c>
      <c r="B87" s="71">
        <v>42643</v>
      </c>
      <c r="C87">
        <v>0</v>
      </c>
      <c r="D87" t="s">
        <v>1839</v>
      </c>
      <c r="E87" t="s">
        <v>1848</v>
      </c>
      <c r="F87">
        <v>9</v>
      </c>
      <c r="G87" t="s">
        <v>1862</v>
      </c>
    </row>
    <row r="88" spans="1:7" x14ac:dyDescent="0.25">
      <c r="A88" s="69" t="s">
        <v>23</v>
      </c>
      <c r="B88" s="71">
        <v>42735</v>
      </c>
      <c r="C88">
        <v>0</v>
      </c>
      <c r="D88" t="s">
        <v>1839</v>
      </c>
      <c r="E88" t="s">
        <v>1849</v>
      </c>
      <c r="F88">
        <v>12</v>
      </c>
      <c r="G88" t="s">
        <v>1863</v>
      </c>
    </row>
    <row r="89" spans="1:7" x14ac:dyDescent="0.25">
      <c r="A89" s="69" t="s">
        <v>23</v>
      </c>
      <c r="B89" s="71">
        <v>42825</v>
      </c>
      <c r="C89">
        <v>0</v>
      </c>
      <c r="D89" t="s">
        <v>1840</v>
      </c>
      <c r="E89" t="s">
        <v>1846</v>
      </c>
      <c r="F89">
        <v>3</v>
      </c>
      <c r="G89" t="s">
        <v>1860</v>
      </c>
    </row>
    <row r="90" spans="1:7" x14ac:dyDescent="0.25">
      <c r="A90" s="69" t="s">
        <v>23</v>
      </c>
      <c r="B90" s="71">
        <v>42916</v>
      </c>
      <c r="C90">
        <v>0</v>
      </c>
      <c r="D90" t="s">
        <v>1840</v>
      </c>
      <c r="E90" t="s">
        <v>1847</v>
      </c>
      <c r="F90">
        <v>6</v>
      </c>
      <c r="G90" t="s">
        <v>1861</v>
      </c>
    </row>
    <row r="91" spans="1:7" x14ac:dyDescent="0.25">
      <c r="A91" s="69" t="s">
        <v>23</v>
      </c>
      <c r="B91" s="71">
        <v>43008</v>
      </c>
      <c r="C91">
        <v>0</v>
      </c>
      <c r="D91" t="s">
        <v>1840</v>
      </c>
      <c r="E91" t="s">
        <v>1848</v>
      </c>
      <c r="F91">
        <v>9</v>
      </c>
      <c r="G91" t="s">
        <v>1862</v>
      </c>
    </row>
    <row r="92" spans="1:7" x14ac:dyDescent="0.25">
      <c r="A92" s="69" t="s">
        <v>23</v>
      </c>
      <c r="B92" s="71">
        <v>43100</v>
      </c>
      <c r="C92">
        <v>0</v>
      </c>
      <c r="D92" t="s">
        <v>1840</v>
      </c>
      <c r="E92" t="s">
        <v>1849</v>
      </c>
      <c r="F92">
        <v>12</v>
      </c>
      <c r="G92" t="s">
        <v>1863</v>
      </c>
    </row>
    <row r="93" spans="1:7" x14ac:dyDescent="0.25">
      <c r="A93" s="69" t="s">
        <v>23</v>
      </c>
      <c r="B93" s="71">
        <v>43190</v>
      </c>
      <c r="C93">
        <v>0</v>
      </c>
      <c r="D93" t="s">
        <v>1841</v>
      </c>
      <c r="E93" t="s">
        <v>1846</v>
      </c>
      <c r="F93">
        <v>3</v>
      </c>
      <c r="G93" t="s">
        <v>1860</v>
      </c>
    </row>
    <row r="94" spans="1:7" x14ac:dyDescent="0.25">
      <c r="A94" s="69" t="s">
        <v>23</v>
      </c>
      <c r="B94" s="71">
        <v>43281</v>
      </c>
      <c r="C94">
        <v>0</v>
      </c>
      <c r="D94" t="s">
        <v>1841</v>
      </c>
      <c r="E94" t="s">
        <v>1847</v>
      </c>
      <c r="F94">
        <v>6</v>
      </c>
      <c r="G94" t="s">
        <v>1861</v>
      </c>
    </row>
    <row r="95" spans="1:7" x14ac:dyDescent="0.25">
      <c r="A95" s="69" t="s">
        <v>23</v>
      </c>
      <c r="B95" s="71">
        <v>43373</v>
      </c>
      <c r="C95">
        <v>0</v>
      </c>
      <c r="D95" t="s">
        <v>1841</v>
      </c>
      <c r="E95" t="s">
        <v>1848</v>
      </c>
      <c r="F95">
        <v>9</v>
      </c>
      <c r="G95" t="s">
        <v>1862</v>
      </c>
    </row>
    <row r="96" spans="1:7" x14ac:dyDescent="0.25">
      <c r="A96" s="69" t="s">
        <v>23</v>
      </c>
      <c r="B96" s="71">
        <v>43465</v>
      </c>
      <c r="C96">
        <v>0</v>
      </c>
      <c r="D96" t="s">
        <v>1841</v>
      </c>
      <c r="E96" t="s">
        <v>1849</v>
      </c>
      <c r="F96">
        <v>12</v>
      </c>
      <c r="G96" t="s">
        <v>1863</v>
      </c>
    </row>
    <row r="97" spans="1:7" x14ac:dyDescent="0.25">
      <c r="A97" s="69" t="s">
        <v>23</v>
      </c>
      <c r="B97" s="71">
        <v>43555</v>
      </c>
      <c r="C97">
        <v>0</v>
      </c>
      <c r="D97" t="s">
        <v>1842</v>
      </c>
      <c r="E97" t="s">
        <v>1846</v>
      </c>
      <c r="F97">
        <v>3</v>
      </c>
      <c r="G97" t="s">
        <v>1860</v>
      </c>
    </row>
    <row r="98" spans="1:7" x14ac:dyDescent="0.25">
      <c r="A98" s="69" t="s">
        <v>23</v>
      </c>
      <c r="B98" s="71">
        <v>43646</v>
      </c>
      <c r="C98">
        <v>0</v>
      </c>
      <c r="D98" t="s">
        <v>1842</v>
      </c>
      <c r="E98" t="s">
        <v>1847</v>
      </c>
      <c r="F98">
        <v>6</v>
      </c>
      <c r="G98" t="s">
        <v>1861</v>
      </c>
    </row>
    <row r="99" spans="1:7" x14ac:dyDescent="0.25">
      <c r="A99" s="69" t="s">
        <v>23</v>
      </c>
      <c r="B99" s="71">
        <v>43738</v>
      </c>
      <c r="C99">
        <v>0</v>
      </c>
      <c r="D99" t="s">
        <v>1842</v>
      </c>
      <c r="E99" t="s">
        <v>1848</v>
      </c>
      <c r="F99">
        <v>9</v>
      </c>
      <c r="G99" t="s">
        <v>1862</v>
      </c>
    </row>
    <row r="100" spans="1:7" x14ac:dyDescent="0.25">
      <c r="A100" s="69" t="s">
        <v>23</v>
      </c>
      <c r="B100" s="71">
        <v>43830</v>
      </c>
      <c r="C100">
        <v>0</v>
      </c>
      <c r="D100" t="s">
        <v>1842</v>
      </c>
      <c r="E100" t="s">
        <v>1849</v>
      </c>
      <c r="F100">
        <v>12</v>
      </c>
      <c r="G100" t="s">
        <v>1863</v>
      </c>
    </row>
    <row r="101" spans="1:7" x14ac:dyDescent="0.25">
      <c r="A101" s="69" t="s">
        <v>51</v>
      </c>
      <c r="B101" s="71">
        <v>42460</v>
      </c>
      <c r="C101">
        <v>0</v>
      </c>
      <c r="D101" t="s">
        <v>1839</v>
      </c>
      <c r="E101" t="s">
        <v>1846</v>
      </c>
      <c r="F101">
        <v>3</v>
      </c>
      <c r="G101" t="s">
        <v>1860</v>
      </c>
    </row>
    <row r="102" spans="1:7" x14ac:dyDescent="0.25">
      <c r="A102" s="69" t="s">
        <v>51</v>
      </c>
      <c r="B102" s="71">
        <v>42551</v>
      </c>
      <c r="C102">
        <v>0</v>
      </c>
      <c r="D102" t="s">
        <v>1839</v>
      </c>
      <c r="E102" t="s">
        <v>1847</v>
      </c>
      <c r="F102">
        <v>6</v>
      </c>
      <c r="G102" t="s">
        <v>1861</v>
      </c>
    </row>
    <row r="103" spans="1:7" x14ac:dyDescent="0.25">
      <c r="A103" s="69" t="s">
        <v>51</v>
      </c>
      <c r="B103" s="71">
        <v>42643</v>
      </c>
      <c r="C103">
        <v>0</v>
      </c>
      <c r="D103" t="s">
        <v>1839</v>
      </c>
      <c r="E103" t="s">
        <v>1848</v>
      </c>
      <c r="F103">
        <v>9</v>
      </c>
      <c r="G103" t="s">
        <v>1862</v>
      </c>
    </row>
    <row r="104" spans="1:7" x14ac:dyDescent="0.25">
      <c r="A104" s="69" t="s">
        <v>51</v>
      </c>
      <c r="B104" s="71">
        <v>42735</v>
      </c>
      <c r="C104">
        <v>0</v>
      </c>
      <c r="D104" t="s">
        <v>1839</v>
      </c>
      <c r="E104" t="s">
        <v>1849</v>
      </c>
      <c r="F104">
        <v>12</v>
      </c>
      <c r="G104" t="s">
        <v>1863</v>
      </c>
    </row>
    <row r="105" spans="1:7" x14ac:dyDescent="0.25">
      <c r="A105" s="69" t="s">
        <v>51</v>
      </c>
      <c r="B105" s="71">
        <v>42825</v>
      </c>
      <c r="C105">
        <v>0</v>
      </c>
      <c r="D105" t="s">
        <v>1840</v>
      </c>
      <c r="E105" t="s">
        <v>1846</v>
      </c>
      <c r="F105">
        <v>3</v>
      </c>
      <c r="G105" t="s">
        <v>1860</v>
      </c>
    </row>
    <row r="106" spans="1:7" x14ac:dyDescent="0.25">
      <c r="A106" s="69" t="s">
        <v>51</v>
      </c>
      <c r="B106" s="71">
        <v>42916</v>
      </c>
      <c r="C106">
        <v>0</v>
      </c>
      <c r="D106" t="s">
        <v>1840</v>
      </c>
      <c r="E106" t="s">
        <v>1847</v>
      </c>
      <c r="F106">
        <v>6</v>
      </c>
      <c r="G106" t="s">
        <v>1861</v>
      </c>
    </row>
    <row r="107" spans="1:7" x14ac:dyDescent="0.25">
      <c r="A107" s="69" t="s">
        <v>51</v>
      </c>
      <c r="B107" s="71">
        <v>43008</v>
      </c>
      <c r="C107">
        <v>0</v>
      </c>
      <c r="D107" t="s">
        <v>1840</v>
      </c>
      <c r="E107" t="s">
        <v>1848</v>
      </c>
      <c r="F107">
        <v>9</v>
      </c>
      <c r="G107" t="s">
        <v>1862</v>
      </c>
    </row>
    <row r="108" spans="1:7" x14ac:dyDescent="0.25">
      <c r="A108" s="69" t="s">
        <v>51</v>
      </c>
      <c r="B108" s="71">
        <v>43100</v>
      </c>
      <c r="C108">
        <v>0</v>
      </c>
      <c r="D108" t="s">
        <v>1840</v>
      </c>
      <c r="E108" t="s">
        <v>1849</v>
      </c>
      <c r="F108">
        <v>12</v>
      </c>
      <c r="G108" t="s">
        <v>1863</v>
      </c>
    </row>
    <row r="109" spans="1:7" x14ac:dyDescent="0.25">
      <c r="A109" s="69" t="s">
        <v>51</v>
      </c>
      <c r="B109" s="71">
        <v>43190</v>
      </c>
      <c r="C109">
        <v>0</v>
      </c>
      <c r="D109" t="s">
        <v>1841</v>
      </c>
      <c r="E109" t="s">
        <v>1846</v>
      </c>
      <c r="F109">
        <v>3</v>
      </c>
      <c r="G109" t="s">
        <v>1860</v>
      </c>
    </row>
    <row r="110" spans="1:7" x14ac:dyDescent="0.25">
      <c r="A110" s="69" t="s">
        <v>51</v>
      </c>
      <c r="B110" s="71">
        <v>43281</v>
      </c>
      <c r="C110">
        <v>0</v>
      </c>
      <c r="D110" t="s">
        <v>1841</v>
      </c>
      <c r="E110" t="s">
        <v>1847</v>
      </c>
      <c r="F110">
        <v>6</v>
      </c>
      <c r="G110" t="s">
        <v>1861</v>
      </c>
    </row>
    <row r="111" spans="1:7" x14ac:dyDescent="0.25">
      <c r="A111" s="69" t="s">
        <v>51</v>
      </c>
      <c r="B111" s="71">
        <v>43373</v>
      </c>
      <c r="C111">
        <v>0</v>
      </c>
      <c r="D111" t="s">
        <v>1841</v>
      </c>
      <c r="E111" t="s">
        <v>1848</v>
      </c>
      <c r="F111">
        <v>9</v>
      </c>
      <c r="G111" t="s">
        <v>1862</v>
      </c>
    </row>
    <row r="112" spans="1:7" x14ac:dyDescent="0.25">
      <c r="A112" s="69" t="s">
        <v>51</v>
      </c>
      <c r="B112" s="71">
        <v>43465</v>
      </c>
      <c r="C112">
        <v>0</v>
      </c>
      <c r="D112" t="s">
        <v>1841</v>
      </c>
      <c r="E112" t="s">
        <v>1849</v>
      </c>
      <c r="F112">
        <v>12</v>
      </c>
      <c r="G112" t="s">
        <v>1863</v>
      </c>
    </row>
    <row r="113" spans="1:7" x14ac:dyDescent="0.25">
      <c r="A113" s="69" t="s">
        <v>51</v>
      </c>
      <c r="B113" s="71">
        <v>43555</v>
      </c>
      <c r="C113">
        <v>0</v>
      </c>
      <c r="D113" t="s">
        <v>1842</v>
      </c>
      <c r="E113" t="s">
        <v>1846</v>
      </c>
      <c r="F113">
        <v>3</v>
      </c>
      <c r="G113" t="s">
        <v>1860</v>
      </c>
    </row>
    <row r="114" spans="1:7" x14ac:dyDescent="0.25">
      <c r="A114" s="69" t="s">
        <v>51</v>
      </c>
      <c r="B114" s="71">
        <v>43646</v>
      </c>
      <c r="C114">
        <v>0</v>
      </c>
      <c r="D114" t="s">
        <v>1842</v>
      </c>
      <c r="E114" t="s">
        <v>1847</v>
      </c>
      <c r="F114">
        <v>6</v>
      </c>
      <c r="G114" t="s">
        <v>1861</v>
      </c>
    </row>
    <row r="115" spans="1:7" x14ac:dyDescent="0.25">
      <c r="A115" s="69" t="s">
        <v>51</v>
      </c>
      <c r="B115" s="71">
        <v>43738</v>
      </c>
      <c r="C115">
        <v>0</v>
      </c>
      <c r="D115" t="s">
        <v>1842</v>
      </c>
      <c r="E115" t="s">
        <v>1848</v>
      </c>
      <c r="F115">
        <v>9</v>
      </c>
      <c r="G115" t="s">
        <v>1862</v>
      </c>
    </row>
    <row r="116" spans="1:7" x14ac:dyDescent="0.25">
      <c r="A116" s="69" t="s">
        <v>51</v>
      </c>
      <c r="B116" s="71">
        <v>43830</v>
      </c>
      <c r="C116">
        <v>0</v>
      </c>
      <c r="D116" t="s">
        <v>1842</v>
      </c>
      <c r="E116" t="s">
        <v>1849</v>
      </c>
      <c r="F116">
        <v>12</v>
      </c>
      <c r="G116" t="s">
        <v>1863</v>
      </c>
    </row>
    <row r="117" spans="1:7" x14ac:dyDescent="0.25">
      <c r="A117" s="69" t="s">
        <v>57</v>
      </c>
      <c r="B117" s="71">
        <v>44286</v>
      </c>
      <c r="C117">
        <v>0</v>
      </c>
      <c r="D117" t="s">
        <v>1844</v>
      </c>
      <c r="E117" t="s">
        <v>1846</v>
      </c>
      <c r="F117">
        <v>3</v>
      </c>
      <c r="G117" t="s">
        <v>1860</v>
      </c>
    </row>
    <row r="118" spans="1:7" x14ac:dyDescent="0.25">
      <c r="A118" s="69" t="s">
        <v>57</v>
      </c>
      <c r="B118" s="71">
        <v>44377</v>
      </c>
      <c r="C118">
        <v>0</v>
      </c>
      <c r="D118" t="s">
        <v>1844</v>
      </c>
      <c r="E118" t="s">
        <v>1847</v>
      </c>
      <c r="F118">
        <v>6</v>
      </c>
      <c r="G118" t="s">
        <v>1861</v>
      </c>
    </row>
    <row r="119" spans="1:7" x14ac:dyDescent="0.25">
      <c r="A119" s="69" t="s">
        <v>57</v>
      </c>
      <c r="B119" s="71">
        <v>44469</v>
      </c>
      <c r="C119">
        <v>0</v>
      </c>
      <c r="D119" t="s">
        <v>1844</v>
      </c>
      <c r="E119" t="s">
        <v>1848</v>
      </c>
      <c r="F119">
        <v>9</v>
      </c>
      <c r="G119" t="s">
        <v>1862</v>
      </c>
    </row>
    <row r="120" spans="1:7" x14ac:dyDescent="0.25">
      <c r="A120" s="69" t="s">
        <v>57</v>
      </c>
      <c r="B120" s="71">
        <v>44561</v>
      </c>
      <c r="C120">
        <v>0</v>
      </c>
      <c r="D120" t="s">
        <v>1844</v>
      </c>
      <c r="E120" t="s">
        <v>1849</v>
      </c>
      <c r="F120">
        <v>12</v>
      </c>
      <c r="G120" t="s">
        <v>1863</v>
      </c>
    </row>
    <row r="121" spans="1:7" x14ac:dyDescent="0.25">
      <c r="A121" s="69" t="s">
        <v>57</v>
      </c>
      <c r="B121" s="71">
        <v>44651</v>
      </c>
      <c r="C121">
        <v>0</v>
      </c>
      <c r="D121" t="s">
        <v>1845</v>
      </c>
      <c r="E121" t="s">
        <v>1846</v>
      </c>
      <c r="F121">
        <v>3</v>
      </c>
      <c r="G121" t="s">
        <v>1860</v>
      </c>
    </row>
    <row r="122" spans="1:7" x14ac:dyDescent="0.25">
      <c r="A122" s="69" t="s">
        <v>57</v>
      </c>
      <c r="B122" s="71">
        <v>44742</v>
      </c>
      <c r="C122">
        <v>0</v>
      </c>
      <c r="D122" t="s">
        <v>1845</v>
      </c>
      <c r="E122" t="s">
        <v>1847</v>
      </c>
      <c r="F122">
        <v>6</v>
      </c>
      <c r="G122" t="s">
        <v>1861</v>
      </c>
    </row>
    <row r="123" spans="1:7" x14ac:dyDescent="0.25">
      <c r="A123" s="69" t="s">
        <v>57</v>
      </c>
      <c r="B123" s="71">
        <v>44834</v>
      </c>
      <c r="C123">
        <v>0</v>
      </c>
      <c r="D123" t="s">
        <v>1845</v>
      </c>
      <c r="E123" t="s">
        <v>1848</v>
      </c>
      <c r="F123">
        <v>9</v>
      </c>
      <c r="G123" t="s">
        <v>1862</v>
      </c>
    </row>
    <row r="124" spans="1:7" x14ac:dyDescent="0.25">
      <c r="A124" s="69" t="s">
        <v>57</v>
      </c>
      <c r="B124" s="71">
        <v>44926</v>
      </c>
      <c r="C124">
        <v>0</v>
      </c>
      <c r="D124" t="s">
        <v>1845</v>
      </c>
      <c r="E124" t="s">
        <v>1849</v>
      </c>
      <c r="F124">
        <v>12</v>
      </c>
      <c r="G124" t="s">
        <v>1863</v>
      </c>
    </row>
    <row r="125" spans="1:7" x14ac:dyDescent="0.25">
      <c r="A125" s="69" t="s">
        <v>51</v>
      </c>
      <c r="B125" s="71">
        <v>42460</v>
      </c>
      <c r="C125">
        <v>0</v>
      </c>
      <c r="D125" t="s">
        <v>1839</v>
      </c>
      <c r="E125" t="s">
        <v>1846</v>
      </c>
      <c r="F125">
        <v>3</v>
      </c>
      <c r="G125" t="s">
        <v>1860</v>
      </c>
    </row>
    <row r="126" spans="1:7" x14ac:dyDescent="0.25">
      <c r="A126" s="69" t="s">
        <v>51</v>
      </c>
      <c r="B126" s="71">
        <v>42551</v>
      </c>
      <c r="C126">
        <v>0</v>
      </c>
      <c r="D126" t="s">
        <v>1839</v>
      </c>
      <c r="E126" t="s">
        <v>1847</v>
      </c>
      <c r="F126">
        <v>6</v>
      </c>
      <c r="G126" t="s">
        <v>1861</v>
      </c>
    </row>
    <row r="127" spans="1:7" x14ac:dyDescent="0.25">
      <c r="A127" s="69" t="s">
        <v>51</v>
      </c>
      <c r="B127" s="71">
        <v>42643</v>
      </c>
      <c r="C127">
        <v>0</v>
      </c>
      <c r="D127" t="s">
        <v>1839</v>
      </c>
      <c r="E127" t="s">
        <v>1848</v>
      </c>
      <c r="F127">
        <v>9</v>
      </c>
      <c r="G127" t="s">
        <v>1862</v>
      </c>
    </row>
    <row r="128" spans="1:7" x14ac:dyDescent="0.25">
      <c r="A128" s="69" t="s">
        <v>51</v>
      </c>
      <c r="B128" s="71">
        <v>42735</v>
      </c>
      <c r="C128">
        <v>0</v>
      </c>
      <c r="D128" t="s">
        <v>1839</v>
      </c>
      <c r="E128" t="s">
        <v>1849</v>
      </c>
      <c r="F128">
        <v>12</v>
      </c>
      <c r="G128" t="s">
        <v>1863</v>
      </c>
    </row>
    <row r="129" spans="1:7" x14ac:dyDescent="0.25">
      <c r="A129" s="69" t="s">
        <v>51</v>
      </c>
      <c r="B129" s="71">
        <v>42825</v>
      </c>
      <c r="C129">
        <v>0</v>
      </c>
      <c r="D129" t="s">
        <v>1840</v>
      </c>
      <c r="E129" t="s">
        <v>1846</v>
      </c>
      <c r="F129">
        <v>3</v>
      </c>
      <c r="G129" t="s">
        <v>1860</v>
      </c>
    </row>
    <row r="130" spans="1:7" x14ac:dyDescent="0.25">
      <c r="A130" s="69" t="s">
        <v>51</v>
      </c>
      <c r="B130" s="71">
        <v>42916</v>
      </c>
      <c r="C130">
        <v>0</v>
      </c>
      <c r="D130" t="s">
        <v>1840</v>
      </c>
      <c r="E130" t="s">
        <v>1847</v>
      </c>
      <c r="F130">
        <v>6</v>
      </c>
      <c r="G130" t="s">
        <v>1861</v>
      </c>
    </row>
    <row r="131" spans="1:7" x14ac:dyDescent="0.25">
      <c r="A131" s="69" t="s">
        <v>51</v>
      </c>
      <c r="B131" s="71">
        <v>43008</v>
      </c>
      <c r="C131">
        <v>0</v>
      </c>
      <c r="D131" t="s">
        <v>1840</v>
      </c>
      <c r="E131" t="s">
        <v>1848</v>
      </c>
      <c r="F131">
        <v>9</v>
      </c>
      <c r="G131" t="s">
        <v>1862</v>
      </c>
    </row>
    <row r="132" spans="1:7" x14ac:dyDescent="0.25">
      <c r="A132" s="69" t="s">
        <v>51</v>
      </c>
      <c r="B132" s="71">
        <v>43100</v>
      </c>
      <c r="C132">
        <v>0</v>
      </c>
      <c r="D132" t="s">
        <v>1840</v>
      </c>
      <c r="E132" t="s">
        <v>1849</v>
      </c>
      <c r="F132">
        <v>12</v>
      </c>
      <c r="G132" t="s">
        <v>1863</v>
      </c>
    </row>
    <row r="133" spans="1:7" x14ac:dyDescent="0.25">
      <c r="A133" s="69" t="s">
        <v>51</v>
      </c>
      <c r="B133" s="71">
        <v>43190</v>
      </c>
      <c r="C133">
        <v>0</v>
      </c>
      <c r="D133" t="s">
        <v>1841</v>
      </c>
      <c r="E133" t="s">
        <v>1846</v>
      </c>
      <c r="F133">
        <v>3</v>
      </c>
      <c r="G133" t="s">
        <v>1860</v>
      </c>
    </row>
    <row r="134" spans="1:7" x14ac:dyDescent="0.25">
      <c r="A134" s="69" t="s">
        <v>51</v>
      </c>
      <c r="B134" s="71">
        <v>43281</v>
      </c>
      <c r="C134">
        <v>0</v>
      </c>
      <c r="D134" t="s">
        <v>1841</v>
      </c>
      <c r="E134" t="s">
        <v>1847</v>
      </c>
      <c r="F134">
        <v>6</v>
      </c>
      <c r="G134" t="s">
        <v>1861</v>
      </c>
    </row>
    <row r="135" spans="1:7" x14ac:dyDescent="0.25">
      <c r="A135" s="69" t="s">
        <v>51</v>
      </c>
      <c r="B135" s="71">
        <v>43373</v>
      </c>
      <c r="C135">
        <v>0</v>
      </c>
      <c r="D135" t="s">
        <v>1841</v>
      </c>
      <c r="E135" t="s">
        <v>1848</v>
      </c>
      <c r="F135">
        <v>9</v>
      </c>
      <c r="G135" t="s">
        <v>1862</v>
      </c>
    </row>
    <row r="136" spans="1:7" x14ac:dyDescent="0.25">
      <c r="A136" s="69" t="s">
        <v>51</v>
      </c>
      <c r="B136" s="71">
        <v>43465</v>
      </c>
      <c r="C136">
        <v>0</v>
      </c>
      <c r="D136" t="s">
        <v>1841</v>
      </c>
      <c r="E136" t="s">
        <v>1849</v>
      </c>
      <c r="F136">
        <v>12</v>
      </c>
      <c r="G136" t="s">
        <v>1863</v>
      </c>
    </row>
    <row r="137" spans="1:7" x14ac:dyDescent="0.25">
      <c r="A137" s="69" t="s">
        <v>51</v>
      </c>
      <c r="B137" s="71">
        <v>43555</v>
      </c>
      <c r="C137">
        <v>0</v>
      </c>
      <c r="D137" t="s">
        <v>1842</v>
      </c>
      <c r="E137" t="s">
        <v>1846</v>
      </c>
      <c r="F137">
        <v>3</v>
      </c>
      <c r="G137" t="s">
        <v>1860</v>
      </c>
    </row>
    <row r="138" spans="1:7" x14ac:dyDescent="0.25">
      <c r="A138" s="69" t="s">
        <v>51</v>
      </c>
      <c r="B138" s="71">
        <v>43646</v>
      </c>
      <c r="C138">
        <v>0</v>
      </c>
      <c r="D138" t="s">
        <v>1842</v>
      </c>
      <c r="E138" t="s">
        <v>1847</v>
      </c>
      <c r="F138">
        <v>6</v>
      </c>
      <c r="G138" t="s">
        <v>1861</v>
      </c>
    </row>
    <row r="139" spans="1:7" x14ac:dyDescent="0.25">
      <c r="A139" s="69" t="s">
        <v>51</v>
      </c>
      <c r="B139" s="71">
        <v>43738</v>
      </c>
      <c r="C139">
        <v>0</v>
      </c>
      <c r="D139" t="s">
        <v>1842</v>
      </c>
      <c r="E139" t="s">
        <v>1848</v>
      </c>
      <c r="F139">
        <v>9</v>
      </c>
      <c r="G139" t="s">
        <v>1862</v>
      </c>
    </row>
    <row r="140" spans="1:7" x14ac:dyDescent="0.25">
      <c r="A140" s="69" t="s">
        <v>51</v>
      </c>
      <c r="B140" s="71">
        <v>43830</v>
      </c>
      <c r="C140">
        <v>0</v>
      </c>
      <c r="D140" t="s">
        <v>1842</v>
      </c>
      <c r="E140" t="s">
        <v>1849</v>
      </c>
      <c r="F140">
        <v>12</v>
      </c>
      <c r="G140" t="s">
        <v>1863</v>
      </c>
    </row>
    <row r="141" spans="1:7" x14ac:dyDescent="0.25">
      <c r="A141" s="69" t="s">
        <v>61</v>
      </c>
      <c r="B141" s="71">
        <v>42460</v>
      </c>
      <c r="C141">
        <v>0</v>
      </c>
      <c r="D141" t="s">
        <v>1839</v>
      </c>
      <c r="E141" t="s">
        <v>1846</v>
      </c>
      <c r="F141">
        <v>3</v>
      </c>
      <c r="G141" t="s">
        <v>1860</v>
      </c>
    </row>
    <row r="142" spans="1:7" x14ac:dyDescent="0.25">
      <c r="A142" s="69" t="s">
        <v>61</v>
      </c>
      <c r="B142" s="71">
        <v>42551</v>
      </c>
      <c r="C142">
        <v>0</v>
      </c>
      <c r="D142" t="s">
        <v>1839</v>
      </c>
      <c r="E142" t="s">
        <v>1847</v>
      </c>
      <c r="F142">
        <v>6</v>
      </c>
      <c r="G142" t="s">
        <v>1861</v>
      </c>
    </row>
    <row r="143" spans="1:7" x14ac:dyDescent="0.25">
      <c r="A143" s="69" t="s">
        <v>61</v>
      </c>
      <c r="B143" s="71">
        <v>42643</v>
      </c>
      <c r="C143">
        <v>0</v>
      </c>
      <c r="D143" t="s">
        <v>1839</v>
      </c>
      <c r="E143" t="s">
        <v>1848</v>
      </c>
      <c r="F143">
        <v>9</v>
      </c>
      <c r="G143" t="s">
        <v>1862</v>
      </c>
    </row>
    <row r="144" spans="1:7" x14ac:dyDescent="0.25">
      <c r="A144" s="69" t="s">
        <v>61</v>
      </c>
      <c r="B144" s="71">
        <v>42735</v>
      </c>
      <c r="C144">
        <v>0</v>
      </c>
      <c r="D144" t="s">
        <v>1839</v>
      </c>
      <c r="E144" t="s">
        <v>1849</v>
      </c>
      <c r="F144">
        <v>12</v>
      </c>
      <c r="G144" t="s">
        <v>1863</v>
      </c>
    </row>
    <row r="145" spans="1:7" x14ac:dyDescent="0.25">
      <c r="A145" s="69" t="s">
        <v>61</v>
      </c>
      <c r="B145" s="71">
        <v>42825</v>
      </c>
      <c r="C145">
        <v>0</v>
      </c>
      <c r="D145" t="s">
        <v>1840</v>
      </c>
      <c r="E145" t="s">
        <v>1846</v>
      </c>
      <c r="F145">
        <v>3</v>
      </c>
      <c r="G145" t="s">
        <v>1860</v>
      </c>
    </row>
    <row r="146" spans="1:7" x14ac:dyDescent="0.25">
      <c r="A146" s="69" t="s">
        <v>61</v>
      </c>
      <c r="B146" s="71">
        <v>42916</v>
      </c>
      <c r="C146">
        <v>0</v>
      </c>
      <c r="D146" t="s">
        <v>1840</v>
      </c>
      <c r="E146" t="s">
        <v>1847</v>
      </c>
      <c r="F146">
        <v>6</v>
      </c>
      <c r="G146" t="s">
        <v>1861</v>
      </c>
    </row>
    <row r="147" spans="1:7" x14ac:dyDescent="0.25">
      <c r="A147" s="69" t="s">
        <v>61</v>
      </c>
      <c r="B147" s="71">
        <v>43008</v>
      </c>
      <c r="C147">
        <v>0</v>
      </c>
      <c r="D147" t="s">
        <v>1840</v>
      </c>
      <c r="E147" t="s">
        <v>1848</v>
      </c>
      <c r="F147">
        <v>9</v>
      </c>
      <c r="G147" t="s">
        <v>1862</v>
      </c>
    </row>
    <row r="148" spans="1:7" x14ac:dyDescent="0.25">
      <c r="A148" s="69" t="s">
        <v>61</v>
      </c>
      <c r="B148" s="71">
        <v>43100</v>
      </c>
      <c r="C148">
        <v>0</v>
      </c>
      <c r="D148" t="s">
        <v>1840</v>
      </c>
      <c r="E148" t="s">
        <v>1849</v>
      </c>
      <c r="F148">
        <v>12</v>
      </c>
      <c r="G148" t="s">
        <v>1863</v>
      </c>
    </row>
    <row r="149" spans="1:7" x14ac:dyDescent="0.25">
      <c r="A149" s="69" t="s">
        <v>61</v>
      </c>
      <c r="B149" s="71">
        <v>43190</v>
      </c>
      <c r="C149">
        <v>0</v>
      </c>
      <c r="D149" t="s">
        <v>1841</v>
      </c>
      <c r="E149" t="s">
        <v>1846</v>
      </c>
      <c r="F149">
        <v>3</v>
      </c>
      <c r="G149" t="s">
        <v>1860</v>
      </c>
    </row>
    <row r="150" spans="1:7" x14ac:dyDescent="0.25">
      <c r="A150" s="69" t="s">
        <v>61</v>
      </c>
      <c r="B150" s="71">
        <v>43281</v>
      </c>
      <c r="C150">
        <v>0</v>
      </c>
      <c r="D150" t="s">
        <v>1841</v>
      </c>
      <c r="E150" t="s">
        <v>1847</v>
      </c>
      <c r="F150">
        <v>6</v>
      </c>
      <c r="G150" t="s">
        <v>1861</v>
      </c>
    </row>
    <row r="151" spans="1:7" x14ac:dyDescent="0.25">
      <c r="A151" s="69" t="s">
        <v>61</v>
      </c>
      <c r="B151" s="71">
        <v>43373</v>
      </c>
      <c r="C151">
        <v>0</v>
      </c>
      <c r="D151" t="s">
        <v>1841</v>
      </c>
      <c r="E151" t="s">
        <v>1848</v>
      </c>
      <c r="F151">
        <v>9</v>
      </c>
      <c r="G151" t="s">
        <v>1862</v>
      </c>
    </row>
    <row r="152" spans="1:7" x14ac:dyDescent="0.25">
      <c r="A152" s="69" t="s">
        <v>61</v>
      </c>
      <c r="B152" s="71">
        <v>43465</v>
      </c>
      <c r="C152">
        <v>0</v>
      </c>
      <c r="D152" t="s">
        <v>1841</v>
      </c>
      <c r="E152" t="s">
        <v>1849</v>
      </c>
      <c r="F152">
        <v>12</v>
      </c>
      <c r="G152" t="s">
        <v>1863</v>
      </c>
    </row>
    <row r="153" spans="1:7" x14ac:dyDescent="0.25">
      <c r="A153" s="69" t="s">
        <v>61</v>
      </c>
      <c r="B153" s="71">
        <v>43555</v>
      </c>
      <c r="C153">
        <v>0</v>
      </c>
      <c r="D153" t="s">
        <v>1842</v>
      </c>
      <c r="E153" t="s">
        <v>1846</v>
      </c>
      <c r="F153">
        <v>3</v>
      </c>
      <c r="G153" t="s">
        <v>1860</v>
      </c>
    </row>
    <row r="154" spans="1:7" x14ac:dyDescent="0.25">
      <c r="A154" s="69" t="s">
        <v>61</v>
      </c>
      <c r="B154" s="71">
        <v>43646</v>
      </c>
      <c r="C154">
        <v>0</v>
      </c>
      <c r="D154" t="s">
        <v>1842</v>
      </c>
      <c r="E154" t="s">
        <v>1847</v>
      </c>
      <c r="F154">
        <v>6</v>
      </c>
      <c r="G154" t="s">
        <v>1861</v>
      </c>
    </row>
    <row r="155" spans="1:7" x14ac:dyDescent="0.25">
      <c r="A155" s="69" t="s">
        <v>61</v>
      </c>
      <c r="B155" s="71">
        <v>43738</v>
      </c>
      <c r="C155">
        <v>0</v>
      </c>
      <c r="D155" t="s">
        <v>1842</v>
      </c>
      <c r="E155" t="s">
        <v>1848</v>
      </c>
      <c r="F155">
        <v>9</v>
      </c>
      <c r="G155" t="s">
        <v>1862</v>
      </c>
    </row>
    <row r="156" spans="1:7" x14ac:dyDescent="0.25">
      <c r="A156" s="69" t="s">
        <v>61</v>
      </c>
      <c r="B156" s="71">
        <v>43830</v>
      </c>
      <c r="C156">
        <v>0</v>
      </c>
      <c r="D156" t="s">
        <v>1842</v>
      </c>
      <c r="E156" t="s">
        <v>1849</v>
      </c>
      <c r="F156">
        <v>12</v>
      </c>
      <c r="G156" t="s">
        <v>1863</v>
      </c>
    </row>
    <row r="157" spans="1:7" x14ac:dyDescent="0.25">
      <c r="A157" s="69" t="s">
        <v>61</v>
      </c>
      <c r="B157" s="71">
        <v>43921</v>
      </c>
      <c r="C157">
        <v>0</v>
      </c>
      <c r="D157" t="s">
        <v>1843</v>
      </c>
      <c r="E157" t="s">
        <v>1846</v>
      </c>
      <c r="F157">
        <v>3</v>
      </c>
      <c r="G157" t="s">
        <v>1860</v>
      </c>
    </row>
    <row r="158" spans="1:7" x14ac:dyDescent="0.25">
      <c r="A158" s="69" t="s">
        <v>61</v>
      </c>
      <c r="B158" s="71">
        <v>44012</v>
      </c>
      <c r="C158">
        <v>0</v>
      </c>
      <c r="D158" t="s">
        <v>1843</v>
      </c>
      <c r="E158" t="s">
        <v>1847</v>
      </c>
      <c r="F158">
        <v>6</v>
      </c>
      <c r="G158" t="s">
        <v>1861</v>
      </c>
    </row>
    <row r="159" spans="1:7" x14ac:dyDescent="0.25">
      <c r="A159" s="69" t="s">
        <v>61</v>
      </c>
      <c r="B159" s="71">
        <v>44104</v>
      </c>
      <c r="C159">
        <v>0</v>
      </c>
      <c r="D159" t="s">
        <v>1843</v>
      </c>
      <c r="E159" t="s">
        <v>1848</v>
      </c>
      <c r="F159">
        <v>9</v>
      </c>
      <c r="G159" t="s">
        <v>1862</v>
      </c>
    </row>
    <row r="160" spans="1:7" x14ac:dyDescent="0.25">
      <c r="A160" s="69" t="s">
        <v>61</v>
      </c>
      <c r="B160" s="71">
        <v>44196</v>
      </c>
      <c r="C160">
        <v>0</v>
      </c>
      <c r="D160" t="s">
        <v>1843</v>
      </c>
      <c r="E160" t="s">
        <v>1849</v>
      </c>
      <c r="F160">
        <v>12</v>
      </c>
      <c r="G160" t="s">
        <v>1863</v>
      </c>
    </row>
    <row r="161" spans="1:7" x14ac:dyDescent="0.25">
      <c r="A161" s="69" t="s">
        <v>61</v>
      </c>
      <c r="B161" s="71">
        <v>44286</v>
      </c>
      <c r="C161">
        <v>0</v>
      </c>
      <c r="D161" t="s">
        <v>1844</v>
      </c>
      <c r="E161" t="s">
        <v>1846</v>
      </c>
      <c r="F161">
        <v>3</v>
      </c>
      <c r="G161" t="s">
        <v>1860</v>
      </c>
    </row>
    <row r="162" spans="1:7" x14ac:dyDescent="0.25">
      <c r="A162" s="69" t="s">
        <v>61</v>
      </c>
      <c r="B162" s="71">
        <v>44377</v>
      </c>
      <c r="C162">
        <v>0</v>
      </c>
      <c r="D162" t="s">
        <v>1844</v>
      </c>
      <c r="E162" t="s">
        <v>1847</v>
      </c>
      <c r="F162">
        <v>6</v>
      </c>
      <c r="G162" t="s">
        <v>1861</v>
      </c>
    </row>
    <row r="163" spans="1:7" x14ac:dyDescent="0.25">
      <c r="A163" s="69" t="s">
        <v>61</v>
      </c>
      <c r="B163" s="71">
        <v>44469</v>
      </c>
      <c r="C163">
        <v>0</v>
      </c>
      <c r="D163" t="s">
        <v>1844</v>
      </c>
      <c r="E163" t="s">
        <v>1848</v>
      </c>
      <c r="F163">
        <v>9</v>
      </c>
      <c r="G163" t="s">
        <v>1862</v>
      </c>
    </row>
    <row r="164" spans="1:7" x14ac:dyDescent="0.25">
      <c r="A164" s="69" t="s">
        <v>61</v>
      </c>
      <c r="B164" s="71">
        <v>44561</v>
      </c>
      <c r="C164">
        <v>0</v>
      </c>
      <c r="D164" t="s">
        <v>1844</v>
      </c>
      <c r="E164" t="s">
        <v>1849</v>
      </c>
      <c r="F164">
        <v>12</v>
      </c>
      <c r="G164" t="s">
        <v>1863</v>
      </c>
    </row>
    <row r="165" spans="1:7" x14ac:dyDescent="0.25">
      <c r="A165" s="69" t="s">
        <v>61</v>
      </c>
      <c r="B165" s="71">
        <v>44651</v>
      </c>
      <c r="C165">
        <v>0</v>
      </c>
      <c r="D165" t="s">
        <v>1845</v>
      </c>
      <c r="E165" t="s">
        <v>1846</v>
      </c>
      <c r="F165">
        <v>3</v>
      </c>
      <c r="G165" t="s">
        <v>1860</v>
      </c>
    </row>
    <row r="166" spans="1:7" x14ac:dyDescent="0.25">
      <c r="A166" s="69" t="s">
        <v>61</v>
      </c>
      <c r="B166" s="71">
        <v>44742</v>
      </c>
      <c r="C166">
        <v>0</v>
      </c>
      <c r="D166" t="s">
        <v>1845</v>
      </c>
      <c r="E166" t="s">
        <v>1847</v>
      </c>
      <c r="F166">
        <v>6</v>
      </c>
      <c r="G166" t="s">
        <v>1861</v>
      </c>
    </row>
    <row r="167" spans="1:7" x14ac:dyDescent="0.25">
      <c r="A167" s="69" t="s">
        <v>61</v>
      </c>
      <c r="B167" s="71">
        <v>44834</v>
      </c>
      <c r="C167">
        <v>0</v>
      </c>
      <c r="D167" t="s">
        <v>1845</v>
      </c>
      <c r="E167" t="s">
        <v>1848</v>
      </c>
      <c r="F167">
        <v>9</v>
      </c>
      <c r="G167" t="s">
        <v>1862</v>
      </c>
    </row>
    <row r="168" spans="1:7" x14ac:dyDescent="0.25">
      <c r="A168" s="69" t="s">
        <v>61</v>
      </c>
      <c r="B168" s="71">
        <v>44926</v>
      </c>
      <c r="C168">
        <v>0</v>
      </c>
      <c r="D168" t="s">
        <v>1845</v>
      </c>
      <c r="E168" t="s">
        <v>1849</v>
      </c>
      <c r="F168">
        <v>12</v>
      </c>
      <c r="G168" t="s">
        <v>1863</v>
      </c>
    </row>
    <row r="169" spans="1:7" x14ac:dyDescent="0.25">
      <c r="A169" s="69" t="s">
        <v>68</v>
      </c>
      <c r="B169" s="71">
        <v>43921</v>
      </c>
      <c r="C169">
        <v>0</v>
      </c>
      <c r="D169" t="s">
        <v>1843</v>
      </c>
      <c r="E169" t="s">
        <v>1846</v>
      </c>
      <c r="F169">
        <v>3</v>
      </c>
      <c r="G169" t="s">
        <v>1860</v>
      </c>
    </row>
    <row r="170" spans="1:7" x14ac:dyDescent="0.25">
      <c r="A170" s="69" t="s">
        <v>68</v>
      </c>
      <c r="B170" s="71">
        <v>44012</v>
      </c>
      <c r="C170">
        <v>0</v>
      </c>
      <c r="D170" t="s">
        <v>1843</v>
      </c>
      <c r="E170" t="s">
        <v>1847</v>
      </c>
      <c r="F170">
        <v>6</v>
      </c>
      <c r="G170" t="s">
        <v>1861</v>
      </c>
    </row>
    <row r="171" spans="1:7" x14ac:dyDescent="0.25">
      <c r="A171" s="69" t="s">
        <v>68</v>
      </c>
      <c r="B171" s="71">
        <v>44104</v>
      </c>
      <c r="C171">
        <v>0</v>
      </c>
      <c r="D171" t="s">
        <v>1843</v>
      </c>
      <c r="E171" t="s">
        <v>1848</v>
      </c>
      <c r="F171">
        <v>9</v>
      </c>
      <c r="G171" t="s">
        <v>1862</v>
      </c>
    </row>
    <row r="172" spans="1:7" x14ac:dyDescent="0.25">
      <c r="A172" s="69" t="s">
        <v>176</v>
      </c>
      <c r="B172" s="71">
        <v>42460</v>
      </c>
      <c r="C172">
        <v>0</v>
      </c>
      <c r="D172" t="s">
        <v>1839</v>
      </c>
      <c r="E172" t="s">
        <v>1846</v>
      </c>
      <c r="F172">
        <v>3</v>
      </c>
      <c r="G172" t="s">
        <v>1860</v>
      </c>
    </row>
    <row r="173" spans="1:7" x14ac:dyDescent="0.25">
      <c r="A173" s="69" t="s">
        <v>176</v>
      </c>
      <c r="B173" s="71">
        <v>42825</v>
      </c>
      <c r="C173">
        <v>0</v>
      </c>
      <c r="D173" t="s">
        <v>1840</v>
      </c>
      <c r="E173" t="s">
        <v>1846</v>
      </c>
      <c r="F173">
        <v>3</v>
      </c>
      <c r="G173" t="s">
        <v>1860</v>
      </c>
    </row>
    <row r="174" spans="1:7" x14ac:dyDescent="0.25">
      <c r="A174" s="69" t="s">
        <v>176</v>
      </c>
      <c r="B174" s="71">
        <v>42916</v>
      </c>
      <c r="C174">
        <v>0</v>
      </c>
      <c r="D174" t="s">
        <v>1840</v>
      </c>
      <c r="E174" t="s">
        <v>1847</v>
      </c>
      <c r="F174">
        <v>6</v>
      </c>
      <c r="G174" t="s">
        <v>1861</v>
      </c>
    </row>
    <row r="175" spans="1:7" x14ac:dyDescent="0.25">
      <c r="A175" s="69" t="s">
        <v>176</v>
      </c>
      <c r="B175" s="71">
        <v>43190</v>
      </c>
      <c r="C175">
        <v>0</v>
      </c>
      <c r="D175" t="s">
        <v>1841</v>
      </c>
      <c r="E175" t="s">
        <v>1846</v>
      </c>
      <c r="F175">
        <v>3</v>
      </c>
      <c r="G175" t="s">
        <v>1860</v>
      </c>
    </row>
    <row r="176" spans="1:7" x14ac:dyDescent="0.25">
      <c r="A176" s="69" t="s">
        <v>176</v>
      </c>
      <c r="B176" s="71">
        <v>43281</v>
      </c>
      <c r="C176">
        <v>0</v>
      </c>
      <c r="D176" t="s">
        <v>1841</v>
      </c>
      <c r="E176" t="s">
        <v>1847</v>
      </c>
      <c r="F176">
        <v>6</v>
      </c>
      <c r="G176" t="s">
        <v>1861</v>
      </c>
    </row>
    <row r="177" spans="1:7" x14ac:dyDescent="0.25">
      <c r="A177" s="69" t="s">
        <v>176</v>
      </c>
      <c r="B177" s="71">
        <v>43555</v>
      </c>
      <c r="C177">
        <v>0</v>
      </c>
      <c r="D177" t="s">
        <v>1842</v>
      </c>
      <c r="E177" t="s">
        <v>1846</v>
      </c>
      <c r="F177">
        <v>3</v>
      </c>
      <c r="G177" t="s">
        <v>1860</v>
      </c>
    </row>
    <row r="178" spans="1:7" x14ac:dyDescent="0.25">
      <c r="A178" s="69" t="s">
        <v>176</v>
      </c>
      <c r="B178" s="71">
        <v>43646</v>
      </c>
      <c r="C178">
        <v>0</v>
      </c>
      <c r="D178" t="s">
        <v>1842</v>
      </c>
      <c r="E178" t="s">
        <v>1847</v>
      </c>
      <c r="F178">
        <v>6</v>
      </c>
      <c r="G178" t="s">
        <v>1861</v>
      </c>
    </row>
    <row r="179" spans="1:7" x14ac:dyDescent="0.25">
      <c r="A179" s="69" t="s">
        <v>176</v>
      </c>
      <c r="B179" s="71">
        <v>43738</v>
      </c>
      <c r="C179">
        <v>0</v>
      </c>
      <c r="D179" t="s">
        <v>1842</v>
      </c>
      <c r="E179" t="s">
        <v>1848</v>
      </c>
      <c r="F179">
        <v>9</v>
      </c>
      <c r="G179" t="s">
        <v>1862</v>
      </c>
    </row>
    <row r="180" spans="1:7" x14ac:dyDescent="0.25">
      <c r="A180" s="69" t="s">
        <v>176</v>
      </c>
      <c r="B180" s="71">
        <v>43830</v>
      </c>
      <c r="C180">
        <v>0</v>
      </c>
      <c r="D180" t="s">
        <v>1842</v>
      </c>
      <c r="E180" t="s">
        <v>1849</v>
      </c>
      <c r="F180">
        <v>12</v>
      </c>
      <c r="G180" t="s">
        <v>1863</v>
      </c>
    </row>
    <row r="181" spans="1:7" x14ac:dyDescent="0.25">
      <c r="A181" s="69" t="s">
        <v>176</v>
      </c>
      <c r="B181" s="71">
        <v>43921</v>
      </c>
      <c r="C181">
        <v>0</v>
      </c>
      <c r="D181" t="s">
        <v>1843</v>
      </c>
      <c r="E181" t="s">
        <v>1846</v>
      </c>
      <c r="F181">
        <v>3</v>
      </c>
      <c r="G181" t="s">
        <v>1860</v>
      </c>
    </row>
    <row r="182" spans="1:7" x14ac:dyDescent="0.25">
      <c r="A182" s="69" t="s">
        <v>176</v>
      </c>
      <c r="B182" s="71">
        <v>44012</v>
      </c>
      <c r="C182">
        <v>0</v>
      </c>
      <c r="D182" t="s">
        <v>1843</v>
      </c>
      <c r="E182" t="s">
        <v>1847</v>
      </c>
      <c r="F182">
        <v>6</v>
      </c>
      <c r="G182" t="s">
        <v>1861</v>
      </c>
    </row>
    <row r="183" spans="1:7" x14ac:dyDescent="0.25">
      <c r="A183" s="69" t="s">
        <v>176</v>
      </c>
      <c r="B183" s="71">
        <v>44104</v>
      </c>
      <c r="C183">
        <v>0</v>
      </c>
      <c r="D183" t="s">
        <v>1843</v>
      </c>
      <c r="E183" t="s">
        <v>1848</v>
      </c>
      <c r="F183">
        <v>9</v>
      </c>
      <c r="G183" t="s">
        <v>1862</v>
      </c>
    </row>
    <row r="184" spans="1:7" x14ac:dyDescent="0.25">
      <c r="A184" s="69" t="s">
        <v>176</v>
      </c>
      <c r="B184" s="71">
        <v>44196</v>
      </c>
      <c r="C184">
        <v>0</v>
      </c>
      <c r="D184" t="s">
        <v>1843</v>
      </c>
      <c r="E184" t="s">
        <v>1849</v>
      </c>
      <c r="F184">
        <v>12</v>
      </c>
      <c r="G184" t="s">
        <v>1863</v>
      </c>
    </row>
    <row r="185" spans="1:7" x14ac:dyDescent="0.25">
      <c r="A185" s="69" t="s">
        <v>176</v>
      </c>
      <c r="B185" s="71">
        <v>44286</v>
      </c>
      <c r="C185">
        <v>0</v>
      </c>
      <c r="D185" t="s">
        <v>1844</v>
      </c>
      <c r="E185" t="s">
        <v>1846</v>
      </c>
      <c r="F185">
        <v>3</v>
      </c>
      <c r="G185" t="s">
        <v>1860</v>
      </c>
    </row>
    <row r="186" spans="1:7" x14ac:dyDescent="0.25">
      <c r="A186" s="69" t="s">
        <v>176</v>
      </c>
      <c r="B186" s="71">
        <v>44377</v>
      </c>
      <c r="C186">
        <v>0</v>
      </c>
      <c r="D186" t="s">
        <v>1844</v>
      </c>
      <c r="E186" t="s">
        <v>1847</v>
      </c>
      <c r="F186">
        <v>6</v>
      </c>
      <c r="G186" t="s">
        <v>1861</v>
      </c>
    </row>
    <row r="187" spans="1:7" x14ac:dyDescent="0.25">
      <c r="A187" s="69" t="s">
        <v>176</v>
      </c>
      <c r="B187" s="71">
        <v>44469</v>
      </c>
      <c r="C187">
        <v>0</v>
      </c>
      <c r="D187" t="s">
        <v>1844</v>
      </c>
      <c r="E187" t="s">
        <v>1848</v>
      </c>
      <c r="F187">
        <v>9</v>
      </c>
      <c r="G187" t="s">
        <v>1862</v>
      </c>
    </row>
    <row r="188" spans="1:7" x14ac:dyDescent="0.25">
      <c r="A188" s="69" t="s">
        <v>176</v>
      </c>
      <c r="B188" s="71">
        <v>44561</v>
      </c>
      <c r="C188">
        <v>0</v>
      </c>
      <c r="D188" t="s">
        <v>1844</v>
      </c>
      <c r="E188" t="s">
        <v>1849</v>
      </c>
      <c r="F188">
        <v>12</v>
      </c>
      <c r="G188" t="s">
        <v>1863</v>
      </c>
    </row>
    <row r="189" spans="1:7" x14ac:dyDescent="0.25">
      <c r="A189" s="69" t="s">
        <v>176</v>
      </c>
      <c r="B189" s="71">
        <v>44651</v>
      </c>
      <c r="C189">
        <v>0</v>
      </c>
      <c r="D189" t="s">
        <v>1845</v>
      </c>
      <c r="E189" t="s">
        <v>1846</v>
      </c>
      <c r="F189">
        <v>3</v>
      </c>
      <c r="G189" t="s">
        <v>1860</v>
      </c>
    </row>
    <row r="190" spans="1:7" x14ac:dyDescent="0.25">
      <c r="A190" s="69" t="s">
        <v>176</v>
      </c>
      <c r="B190" s="71">
        <v>44742</v>
      </c>
      <c r="C190">
        <v>0</v>
      </c>
      <c r="D190" t="s">
        <v>1845</v>
      </c>
      <c r="E190" t="s">
        <v>1847</v>
      </c>
      <c r="F190">
        <v>6</v>
      </c>
      <c r="G190" t="s">
        <v>1861</v>
      </c>
    </row>
    <row r="191" spans="1:7" x14ac:dyDescent="0.25">
      <c r="A191" s="69" t="s">
        <v>176</v>
      </c>
      <c r="B191" s="71">
        <v>44834</v>
      </c>
      <c r="C191">
        <v>0</v>
      </c>
      <c r="D191" t="s">
        <v>1845</v>
      </c>
      <c r="E191" t="s">
        <v>1848</v>
      </c>
      <c r="F191">
        <v>9</v>
      </c>
      <c r="G191" t="s">
        <v>1862</v>
      </c>
    </row>
    <row r="192" spans="1:7" x14ac:dyDescent="0.25">
      <c r="A192" s="69" t="s">
        <v>176</v>
      </c>
      <c r="B192" s="71">
        <v>44926</v>
      </c>
      <c r="C192">
        <v>0</v>
      </c>
      <c r="D192" t="s">
        <v>1845</v>
      </c>
      <c r="E192" t="s">
        <v>1849</v>
      </c>
      <c r="F192">
        <v>12</v>
      </c>
      <c r="G192" t="s">
        <v>1863</v>
      </c>
    </row>
    <row r="193" spans="1:7" x14ac:dyDescent="0.25">
      <c r="A193" s="69" t="s">
        <v>185</v>
      </c>
      <c r="B193" s="71">
        <v>44651</v>
      </c>
      <c r="C193">
        <v>0</v>
      </c>
      <c r="D193" t="s">
        <v>1845</v>
      </c>
      <c r="E193" t="s">
        <v>1846</v>
      </c>
      <c r="F193">
        <v>3</v>
      </c>
      <c r="G193" t="s">
        <v>1860</v>
      </c>
    </row>
    <row r="194" spans="1:7" x14ac:dyDescent="0.25">
      <c r="A194" s="69" t="s">
        <v>185</v>
      </c>
      <c r="B194" s="71">
        <v>44742</v>
      </c>
      <c r="C194">
        <v>0</v>
      </c>
      <c r="D194" t="s">
        <v>1845</v>
      </c>
      <c r="E194" t="s">
        <v>1847</v>
      </c>
      <c r="F194">
        <v>6</v>
      </c>
      <c r="G194" t="s">
        <v>1861</v>
      </c>
    </row>
    <row r="195" spans="1:7" x14ac:dyDescent="0.25">
      <c r="A195" s="69" t="s">
        <v>190</v>
      </c>
      <c r="B195" s="71">
        <v>42643</v>
      </c>
      <c r="C195">
        <v>0</v>
      </c>
      <c r="D195" t="s">
        <v>1839</v>
      </c>
      <c r="E195" t="s">
        <v>1848</v>
      </c>
      <c r="F195">
        <v>9</v>
      </c>
      <c r="G195" t="s">
        <v>1862</v>
      </c>
    </row>
    <row r="196" spans="1:7" x14ac:dyDescent="0.25">
      <c r="A196" s="69" t="s">
        <v>190</v>
      </c>
      <c r="B196" s="71">
        <v>42735</v>
      </c>
      <c r="C196">
        <v>0</v>
      </c>
      <c r="D196" t="s">
        <v>1839</v>
      </c>
      <c r="E196" t="s">
        <v>1849</v>
      </c>
      <c r="F196">
        <v>12</v>
      </c>
      <c r="G196" t="s">
        <v>1863</v>
      </c>
    </row>
    <row r="197" spans="1:7" x14ac:dyDescent="0.25">
      <c r="A197" s="69" t="s">
        <v>190</v>
      </c>
      <c r="B197" s="71">
        <v>42825</v>
      </c>
      <c r="C197">
        <v>0</v>
      </c>
      <c r="D197" t="s">
        <v>1840</v>
      </c>
      <c r="E197" t="s">
        <v>1846</v>
      </c>
      <c r="F197">
        <v>3</v>
      </c>
      <c r="G197" t="s">
        <v>1860</v>
      </c>
    </row>
    <row r="198" spans="1:7" x14ac:dyDescent="0.25">
      <c r="A198" s="69" t="s">
        <v>190</v>
      </c>
      <c r="B198" s="71">
        <v>42916</v>
      </c>
      <c r="C198">
        <v>0</v>
      </c>
      <c r="D198" t="s">
        <v>1840</v>
      </c>
      <c r="E198" t="s">
        <v>1847</v>
      </c>
      <c r="F198">
        <v>6</v>
      </c>
      <c r="G198" t="s">
        <v>1861</v>
      </c>
    </row>
    <row r="199" spans="1:7" x14ac:dyDescent="0.25">
      <c r="A199" s="69" t="s">
        <v>190</v>
      </c>
      <c r="B199" s="71">
        <v>43008</v>
      </c>
      <c r="C199">
        <v>0</v>
      </c>
      <c r="D199" t="s">
        <v>1840</v>
      </c>
      <c r="E199" t="s">
        <v>1848</v>
      </c>
      <c r="F199">
        <v>9</v>
      </c>
      <c r="G199" t="s">
        <v>1862</v>
      </c>
    </row>
    <row r="200" spans="1:7" x14ac:dyDescent="0.25">
      <c r="A200" s="69" t="s">
        <v>190</v>
      </c>
      <c r="B200" s="71">
        <v>43100</v>
      </c>
      <c r="C200">
        <v>0</v>
      </c>
      <c r="D200" t="s">
        <v>1840</v>
      </c>
      <c r="E200" t="s">
        <v>1849</v>
      </c>
      <c r="F200">
        <v>12</v>
      </c>
      <c r="G200" t="s">
        <v>1863</v>
      </c>
    </row>
    <row r="201" spans="1:7" x14ac:dyDescent="0.25">
      <c r="A201" s="69" t="s">
        <v>190</v>
      </c>
      <c r="B201" s="71">
        <v>43190</v>
      </c>
      <c r="C201">
        <v>0</v>
      </c>
      <c r="D201" t="s">
        <v>1841</v>
      </c>
      <c r="E201" t="s">
        <v>1846</v>
      </c>
      <c r="F201">
        <v>3</v>
      </c>
      <c r="G201" t="s">
        <v>1860</v>
      </c>
    </row>
    <row r="202" spans="1:7" x14ac:dyDescent="0.25">
      <c r="A202" s="69" t="s">
        <v>190</v>
      </c>
      <c r="B202" s="71">
        <v>43281</v>
      </c>
      <c r="C202">
        <v>0</v>
      </c>
      <c r="D202" t="s">
        <v>1841</v>
      </c>
      <c r="E202" t="s">
        <v>1847</v>
      </c>
      <c r="F202">
        <v>6</v>
      </c>
      <c r="G202" t="s">
        <v>1861</v>
      </c>
    </row>
    <row r="203" spans="1:7" x14ac:dyDescent="0.25">
      <c r="A203" s="69" t="s">
        <v>190</v>
      </c>
      <c r="B203" s="71">
        <v>43373</v>
      </c>
      <c r="C203">
        <v>0</v>
      </c>
      <c r="D203" t="s">
        <v>1841</v>
      </c>
      <c r="E203" t="s">
        <v>1848</v>
      </c>
      <c r="F203">
        <v>9</v>
      </c>
      <c r="G203" t="s">
        <v>1862</v>
      </c>
    </row>
    <row r="204" spans="1:7" x14ac:dyDescent="0.25">
      <c r="A204" s="69" t="s">
        <v>190</v>
      </c>
      <c r="B204" s="71">
        <v>43465</v>
      </c>
      <c r="C204">
        <v>0</v>
      </c>
      <c r="D204" t="s">
        <v>1841</v>
      </c>
      <c r="E204" t="s">
        <v>1849</v>
      </c>
      <c r="F204">
        <v>12</v>
      </c>
      <c r="G204" t="s">
        <v>1863</v>
      </c>
    </row>
    <row r="205" spans="1:7" x14ac:dyDescent="0.25">
      <c r="A205" s="69" t="s">
        <v>190</v>
      </c>
      <c r="B205" s="71">
        <v>43555</v>
      </c>
      <c r="C205">
        <v>0</v>
      </c>
      <c r="D205" t="s">
        <v>1842</v>
      </c>
      <c r="E205" t="s">
        <v>1846</v>
      </c>
      <c r="F205">
        <v>3</v>
      </c>
      <c r="G205" t="s">
        <v>1860</v>
      </c>
    </row>
    <row r="206" spans="1:7" x14ac:dyDescent="0.25">
      <c r="A206" s="69" t="s">
        <v>190</v>
      </c>
      <c r="B206" s="71">
        <v>43646</v>
      </c>
      <c r="C206">
        <v>0</v>
      </c>
      <c r="D206" t="s">
        <v>1842</v>
      </c>
      <c r="E206" t="s">
        <v>1847</v>
      </c>
      <c r="F206">
        <v>6</v>
      </c>
      <c r="G206" t="s">
        <v>1861</v>
      </c>
    </row>
    <row r="207" spans="1:7" x14ac:dyDescent="0.25">
      <c r="A207" s="69" t="s">
        <v>190</v>
      </c>
      <c r="B207" s="71">
        <v>43738</v>
      </c>
      <c r="C207">
        <v>0</v>
      </c>
      <c r="D207" t="s">
        <v>1842</v>
      </c>
      <c r="E207" t="s">
        <v>1848</v>
      </c>
      <c r="F207">
        <v>9</v>
      </c>
      <c r="G207" t="s">
        <v>1862</v>
      </c>
    </row>
    <row r="208" spans="1:7" x14ac:dyDescent="0.25">
      <c r="A208" s="69" t="s">
        <v>190</v>
      </c>
      <c r="B208" s="71">
        <v>43830</v>
      </c>
      <c r="C208">
        <v>0</v>
      </c>
      <c r="D208" t="s">
        <v>1842</v>
      </c>
      <c r="E208" t="s">
        <v>1849</v>
      </c>
      <c r="F208">
        <v>12</v>
      </c>
      <c r="G208" t="s">
        <v>1863</v>
      </c>
    </row>
    <row r="209" spans="1:7" x14ac:dyDescent="0.25">
      <c r="A209" s="69" t="s">
        <v>190</v>
      </c>
      <c r="B209" s="71">
        <v>43921</v>
      </c>
      <c r="C209">
        <v>0</v>
      </c>
      <c r="D209" t="s">
        <v>1843</v>
      </c>
      <c r="E209" t="s">
        <v>1846</v>
      </c>
      <c r="F209">
        <v>3</v>
      </c>
      <c r="G209" t="s">
        <v>1860</v>
      </c>
    </row>
    <row r="210" spans="1:7" x14ac:dyDescent="0.25">
      <c r="A210" s="69" t="s">
        <v>190</v>
      </c>
      <c r="B210" s="71">
        <v>44012</v>
      </c>
      <c r="C210">
        <v>0</v>
      </c>
      <c r="D210" t="s">
        <v>1843</v>
      </c>
      <c r="E210" t="s">
        <v>1847</v>
      </c>
      <c r="F210">
        <v>6</v>
      </c>
      <c r="G210" t="s">
        <v>1861</v>
      </c>
    </row>
    <row r="211" spans="1:7" x14ac:dyDescent="0.25">
      <c r="A211" s="69" t="s">
        <v>190</v>
      </c>
      <c r="B211" s="71">
        <v>44104</v>
      </c>
      <c r="C211">
        <v>0</v>
      </c>
      <c r="D211" t="s">
        <v>1843</v>
      </c>
      <c r="E211" t="s">
        <v>1848</v>
      </c>
      <c r="F211">
        <v>9</v>
      </c>
      <c r="G211" t="s">
        <v>1862</v>
      </c>
    </row>
    <row r="212" spans="1:7" x14ac:dyDescent="0.25">
      <c r="A212" s="69" t="s">
        <v>190</v>
      </c>
      <c r="B212" s="71">
        <v>44196</v>
      </c>
      <c r="C212">
        <v>0</v>
      </c>
      <c r="D212" t="s">
        <v>1843</v>
      </c>
      <c r="E212" t="s">
        <v>1849</v>
      </c>
      <c r="F212">
        <v>12</v>
      </c>
      <c r="G212" t="s">
        <v>1863</v>
      </c>
    </row>
    <row r="213" spans="1:7" x14ac:dyDescent="0.25">
      <c r="A213" s="69" t="s">
        <v>190</v>
      </c>
      <c r="B213" s="71">
        <v>44286</v>
      </c>
      <c r="C213">
        <v>0</v>
      </c>
      <c r="D213" t="s">
        <v>1844</v>
      </c>
      <c r="E213" t="s">
        <v>1846</v>
      </c>
      <c r="F213">
        <v>3</v>
      </c>
      <c r="G213" t="s">
        <v>1860</v>
      </c>
    </row>
    <row r="214" spans="1:7" x14ac:dyDescent="0.25">
      <c r="A214" s="69" t="s">
        <v>190</v>
      </c>
      <c r="B214" s="71">
        <v>44377</v>
      </c>
      <c r="C214">
        <v>0</v>
      </c>
      <c r="D214" t="s">
        <v>1844</v>
      </c>
      <c r="E214" t="s">
        <v>1847</v>
      </c>
      <c r="F214">
        <v>6</v>
      </c>
      <c r="G214" t="s">
        <v>1861</v>
      </c>
    </row>
    <row r="215" spans="1:7" x14ac:dyDescent="0.25">
      <c r="A215" s="69" t="s">
        <v>190</v>
      </c>
      <c r="B215" s="71">
        <v>44469</v>
      </c>
      <c r="C215">
        <v>0</v>
      </c>
      <c r="D215" t="s">
        <v>1844</v>
      </c>
      <c r="E215" t="s">
        <v>1848</v>
      </c>
      <c r="F215">
        <v>9</v>
      </c>
      <c r="G215" t="s">
        <v>1862</v>
      </c>
    </row>
    <row r="216" spans="1:7" x14ac:dyDescent="0.25">
      <c r="A216" s="69" t="s">
        <v>190</v>
      </c>
      <c r="B216" s="71">
        <v>44561</v>
      </c>
      <c r="C216">
        <v>0</v>
      </c>
      <c r="D216" t="s">
        <v>1844</v>
      </c>
      <c r="E216" t="s">
        <v>1849</v>
      </c>
      <c r="F216">
        <v>12</v>
      </c>
      <c r="G216" t="s">
        <v>1863</v>
      </c>
    </row>
    <row r="217" spans="1:7" x14ac:dyDescent="0.25">
      <c r="A217" s="69" t="s">
        <v>190</v>
      </c>
      <c r="B217" s="71">
        <v>44651</v>
      </c>
      <c r="C217">
        <v>0</v>
      </c>
      <c r="D217" t="s">
        <v>1845</v>
      </c>
      <c r="E217" t="s">
        <v>1846</v>
      </c>
      <c r="F217">
        <v>3</v>
      </c>
      <c r="G217" t="s">
        <v>1860</v>
      </c>
    </row>
    <row r="218" spans="1:7" x14ac:dyDescent="0.25">
      <c r="A218" s="69" t="s">
        <v>190</v>
      </c>
      <c r="B218" s="71">
        <v>44742</v>
      </c>
      <c r="C218">
        <v>0</v>
      </c>
      <c r="D218" t="s">
        <v>1845</v>
      </c>
      <c r="E218" t="s">
        <v>1847</v>
      </c>
      <c r="F218">
        <v>6</v>
      </c>
      <c r="G218" t="s">
        <v>1861</v>
      </c>
    </row>
    <row r="219" spans="1:7" x14ac:dyDescent="0.25">
      <c r="A219" s="69" t="s">
        <v>190</v>
      </c>
      <c r="B219" s="71">
        <v>44834</v>
      </c>
      <c r="C219">
        <v>0</v>
      </c>
      <c r="D219" t="s">
        <v>1845</v>
      </c>
      <c r="E219" t="s">
        <v>1848</v>
      </c>
      <c r="F219">
        <v>9</v>
      </c>
      <c r="G219" t="s">
        <v>1862</v>
      </c>
    </row>
    <row r="220" spans="1:7" x14ac:dyDescent="0.25">
      <c r="A220" s="69" t="s">
        <v>190</v>
      </c>
      <c r="B220" s="71">
        <v>44926</v>
      </c>
      <c r="C220">
        <v>0</v>
      </c>
      <c r="D220" t="s">
        <v>1845</v>
      </c>
      <c r="E220" t="s">
        <v>1849</v>
      </c>
      <c r="F220">
        <v>12</v>
      </c>
      <c r="G220" t="s">
        <v>1863</v>
      </c>
    </row>
    <row r="221" spans="1:7" x14ac:dyDescent="0.25">
      <c r="A221" s="69" t="s">
        <v>195</v>
      </c>
      <c r="B221" s="71">
        <v>42460</v>
      </c>
      <c r="C221">
        <v>0</v>
      </c>
      <c r="D221" t="s">
        <v>1839</v>
      </c>
      <c r="E221" t="s">
        <v>1846</v>
      </c>
      <c r="F221">
        <v>3</v>
      </c>
      <c r="G221" t="s">
        <v>1860</v>
      </c>
    </row>
    <row r="222" spans="1:7" x14ac:dyDescent="0.25">
      <c r="A222" s="69" t="s">
        <v>195</v>
      </c>
      <c r="B222" s="71">
        <v>42551</v>
      </c>
      <c r="C222">
        <v>0</v>
      </c>
      <c r="D222" t="s">
        <v>1839</v>
      </c>
      <c r="E222" t="s">
        <v>1847</v>
      </c>
      <c r="F222">
        <v>6</v>
      </c>
      <c r="G222" t="s">
        <v>1861</v>
      </c>
    </row>
    <row r="223" spans="1:7" x14ac:dyDescent="0.25">
      <c r="A223" s="69" t="s">
        <v>195</v>
      </c>
      <c r="B223" s="71">
        <v>42643</v>
      </c>
      <c r="C223">
        <v>0</v>
      </c>
      <c r="D223" t="s">
        <v>1839</v>
      </c>
      <c r="E223" t="s">
        <v>1848</v>
      </c>
      <c r="F223">
        <v>9</v>
      </c>
      <c r="G223" t="s">
        <v>1862</v>
      </c>
    </row>
    <row r="224" spans="1:7" x14ac:dyDescent="0.25">
      <c r="A224" s="69" t="s">
        <v>195</v>
      </c>
      <c r="B224" s="71">
        <v>42825</v>
      </c>
      <c r="C224">
        <v>0</v>
      </c>
      <c r="D224" t="s">
        <v>1840</v>
      </c>
      <c r="E224" t="s">
        <v>1846</v>
      </c>
      <c r="F224">
        <v>3</v>
      </c>
      <c r="G224" t="s">
        <v>1860</v>
      </c>
    </row>
    <row r="225" spans="1:7" x14ac:dyDescent="0.25">
      <c r="A225" s="69" t="s">
        <v>195</v>
      </c>
      <c r="B225" s="71">
        <v>42916</v>
      </c>
      <c r="C225">
        <v>0</v>
      </c>
      <c r="D225" t="s">
        <v>1840</v>
      </c>
      <c r="E225" t="s">
        <v>1847</v>
      </c>
      <c r="F225">
        <v>6</v>
      </c>
      <c r="G225" t="s">
        <v>1861</v>
      </c>
    </row>
    <row r="226" spans="1:7" x14ac:dyDescent="0.25">
      <c r="A226" s="69" t="s">
        <v>195</v>
      </c>
      <c r="B226" s="71">
        <v>43008</v>
      </c>
      <c r="C226">
        <v>0</v>
      </c>
      <c r="D226" t="s">
        <v>1840</v>
      </c>
      <c r="E226" t="s">
        <v>1848</v>
      </c>
      <c r="F226">
        <v>9</v>
      </c>
      <c r="G226" t="s">
        <v>1862</v>
      </c>
    </row>
    <row r="227" spans="1:7" x14ac:dyDescent="0.25">
      <c r="A227" s="69" t="s">
        <v>195</v>
      </c>
      <c r="B227" s="71">
        <v>43100</v>
      </c>
      <c r="C227">
        <v>0</v>
      </c>
      <c r="D227" t="s">
        <v>1840</v>
      </c>
      <c r="E227" t="s">
        <v>1849</v>
      </c>
      <c r="F227">
        <v>12</v>
      </c>
      <c r="G227" t="s">
        <v>1863</v>
      </c>
    </row>
    <row r="228" spans="1:7" x14ac:dyDescent="0.25">
      <c r="A228" s="69" t="s">
        <v>195</v>
      </c>
      <c r="B228" s="71">
        <v>43190</v>
      </c>
      <c r="C228">
        <v>0</v>
      </c>
      <c r="D228" t="s">
        <v>1841</v>
      </c>
      <c r="E228" t="s">
        <v>1846</v>
      </c>
      <c r="F228">
        <v>3</v>
      </c>
      <c r="G228" t="s">
        <v>1860</v>
      </c>
    </row>
    <row r="229" spans="1:7" x14ac:dyDescent="0.25">
      <c r="A229" s="69" t="s">
        <v>195</v>
      </c>
      <c r="B229" s="71">
        <v>43281</v>
      </c>
      <c r="C229">
        <v>0</v>
      </c>
      <c r="D229" t="s">
        <v>1841</v>
      </c>
      <c r="E229" t="s">
        <v>1847</v>
      </c>
      <c r="F229">
        <v>6</v>
      </c>
      <c r="G229" t="s">
        <v>1861</v>
      </c>
    </row>
    <row r="230" spans="1:7" x14ac:dyDescent="0.25">
      <c r="A230" s="69" t="s">
        <v>195</v>
      </c>
      <c r="B230" s="71">
        <v>43373</v>
      </c>
      <c r="C230">
        <v>0</v>
      </c>
      <c r="D230" t="s">
        <v>1841</v>
      </c>
      <c r="E230" t="s">
        <v>1848</v>
      </c>
      <c r="F230">
        <v>9</v>
      </c>
      <c r="G230" t="s">
        <v>1862</v>
      </c>
    </row>
    <row r="231" spans="1:7" x14ac:dyDescent="0.25">
      <c r="A231" s="69" t="s">
        <v>195</v>
      </c>
      <c r="B231" s="71">
        <v>43465</v>
      </c>
      <c r="C231">
        <v>0</v>
      </c>
      <c r="D231" t="s">
        <v>1841</v>
      </c>
      <c r="E231" t="s">
        <v>1849</v>
      </c>
      <c r="F231">
        <v>12</v>
      </c>
      <c r="G231" t="s">
        <v>1863</v>
      </c>
    </row>
    <row r="232" spans="1:7" x14ac:dyDescent="0.25">
      <c r="A232" s="69" t="s">
        <v>195</v>
      </c>
      <c r="B232" s="71">
        <v>43555</v>
      </c>
      <c r="C232">
        <v>0</v>
      </c>
      <c r="D232" t="s">
        <v>1842</v>
      </c>
      <c r="E232" t="s">
        <v>1846</v>
      </c>
      <c r="F232">
        <v>3</v>
      </c>
      <c r="G232" t="s">
        <v>1860</v>
      </c>
    </row>
    <row r="233" spans="1:7" x14ac:dyDescent="0.25">
      <c r="A233" s="69" t="s">
        <v>195</v>
      </c>
      <c r="B233" s="71">
        <v>43646</v>
      </c>
      <c r="C233">
        <v>0</v>
      </c>
      <c r="D233" t="s">
        <v>1842</v>
      </c>
      <c r="E233" t="s">
        <v>1847</v>
      </c>
      <c r="F233">
        <v>6</v>
      </c>
      <c r="G233" t="s">
        <v>1861</v>
      </c>
    </row>
    <row r="234" spans="1:7" x14ac:dyDescent="0.25">
      <c r="A234" s="69" t="s">
        <v>195</v>
      </c>
      <c r="B234" s="71">
        <v>43738</v>
      </c>
      <c r="C234">
        <v>0</v>
      </c>
      <c r="D234" t="s">
        <v>1842</v>
      </c>
      <c r="E234" t="s">
        <v>1848</v>
      </c>
      <c r="F234">
        <v>9</v>
      </c>
      <c r="G234" t="s">
        <v>1862</v>
      </c>
    </row>
    <row r="235" spans="1:7" x14ac:dyDescent="0.25">
      <c r="A235" s="69" t="s">
        <v>195</v>
      </c>
      <c r="B235" s="71">
        <v>43830</v>
      </c>
      <c r="C235">
        <v>0</v>
      </c>
      <c r="D235" t="s">
        <v>1842</v>
      </c>
      <c r="E235" t="s">
        <v>1849</v>
      </c>
      <c r="F235">
        <v>12</v>
      </c>
      <c r="G235" t="s">
        <v>1863</v>
      </c>
    </row>
    <row r="236" spans="1:7" x14ac:dyDescent="0.25">
      <c r="A236" s="69" t="s">
        <v>195</v>
      </c>
      <c r="B236" s="71">
        <v>43921</v>
      </c>
      <c r="C236">
        <v>0</v>
      </c>
      <c r="D236" t="s">
        <v>1843</v>
      </c>
      <c r="E236" t="s">
        <v>1846</v>
      </c>
      <c r="F236">
        <v>3</v>
      </c>
      <c r="G236" t="s">
        <v>1860</v>
      </c>
    </row>
    <row r="237" spans="1:7" x14ac:dyDescent="0.25">
      <c r="A237" s="69" t="s">
        <v>195</v>
      </c>
      <c r="B237" s="71">
        <v>44012</v>
      </c>
      <c r="C237">
        <v>0</v>
      </c>
      <c r="D237" t="s">
        <v>1843</v>
      </c>
      <c r="E237" t="s">
        <v>1847</v>
      </c>
      <c r="F237">
        <v>6</v>
      </c>
      <c r="G237" t="s">
        <v>1861</v>
      </c>
    </row>
    <row r="238" spans="1:7" x14ac:dyDescent="0.25">
      <c r="A238" s="69" t="s">
        <v>195</v>
      </c>
      <c r="B238" s="71">
        <v>44104</v>
      </c>
      <c r="C238">
        <v>0</v>
      </c>
      <c r="D238" t="s">
        <v>1843</v>
      </c>
      <c r="E238" t="s">
        <v>1848</v>
      </c>
      <c r="F238">
        <v>9</v>
      </c>
      <c r="G238" t="s">
        <v>1862</v>
      </c>
    </row>
    <row r="239" spans="1:7" x14ac:dyDescent="0.25">
      <c r="A239" s="69" t="s">
        <v>195</v>
      </c>
      <c r="B239" s="71">
        <v>44196</v>
      </c>
      <c r="C239">
        <v>0</v>
      </c>
      <c r="D239" t="s">
        <v>1843</v>
      </c>
      <c r="E239" t="s">
        <v>1849</v>
      </c>
      <c r="F239">
        <v>12</v>
      </c>
      <c r="G239" t="s">
        <v>1863</v>
      </c>
    </row>
    <row r="240" spans="1:7" x14ac:dyDescent="0.25">
      <c r="A240" s="69" t="s">
        <v>195</v>
      </c>
      <c r="B240" s="71">
        <v>44469</v>
      </c>
      <c r="C240">
        <v>0</v>
      </c>
      <c r="D240" t="s">
        <v>1844</v>
      </c>
      <c r="E240" t="s">
        <v>1848</v>
      </c>
      <c r="F240">
        <v>9</v>
      </c>
      <c r="G240" t="s">
        <v>1862</v>
      </c>
    </row>
    <row r="241" spans="1:7" x14ac:dyDescent="0.25">
      <c r="A241" s="69" t="s">
        <v>201</v>
      </c>
      <c r="B241" s="71">
        <v>42460</v>
      </c>
      <c r="C241">
        <v>0</v>
      </c>
      <c r="D241" t="s">
        <v>1839</v>
      </c>
      <c r="E241" t="s">
        <v>1846</v>
      </c>
      <c r="F241">
        <v>3</v>
      </c>
      <c r="G241" t="s">
        <v>1860</v>
      </c>
    </row>
    <row r="242" spans="1:7" x14ac:dyDescent="0.25">
      <c r="A242" s="69" t="s">
        <v>201</v>
      </c>
      <c r="B242" s="71">
        <v>42551</v>
      </c>
      <c r="C242">
        <v>0</v>
      </c>
      <c r="D242" t="s">
        <v>1839</v>
      </c>
      <c r="E242" t="s">
        <v>1847</v>
      </c>
      <c r="F242">
        <v>6</v>
      </c>
      <c r="G242" t="s">
        <v>1861</v>
      </c>
    </row>
    <row r="243" spans="1:7" x14ac:dyDescent="0.25">
      <c r="A243" s="69" t="s">
        <v>201</v>
      </c>
      <c r="B243" s="71">
        <v>42825</v>
      </c>
      <c r="C243">
        <v>0</v>
      </c>
      <c r="D243" t="s">
        <v>1840</v>
      </c>
      <c r="E243" t="s">
        <v>1846</v>
      </c>
      <c r="F243">
        <v>3</v>
      </c>
      <c r="G243" t="s">
        <v>1860</v>
      </c>
    </row>
    <row r="244" spans="1:7" x14ac:dyDescent="0.25">
      <c r="A244" s="69" t="s">
        <v>201</v>
      </c>
      <c r="B244" s="71">
        <v>42916</v>
      </c>
      <c r="C244">
        <v>0</v>
      </c>
      <c r="D244" t="s">
        <v>1840</v>
      </c>
      <c r="E244" t="s">
        <v>1847</v>
      </c>
      <c r="F244">
        <v>6</v>
      </c>
      <c r="G244" t="s">
        <v>1861</v>
      </c>
    </row>
    <row r="245" spans="1:7" x14ac:dyDescent="0.25">
      <c r="A245" s="69" t="s">
        <v>201</v>
      </c>
      <c r="B245" s="71">
        <v>43008</v>
      </c>
      <c r="C245">
        <v>0</v>
      </c>
      <c r="D245" t="s">
        <v>1840</v>
      </c>
      <c r="E245" t="s">
        <v>1848</v>
      </c>
      <c r="F245">
        <v>9</v>
      </c>
      <c r="G245" t="s">
        <v>1862</v>
      </c>
    </row>
    <row r="246" spans="1:7" x14ac:dyDescent="0.25">
      <c r="A246" s="69" t="s">
        <v>201</v>
      </c>
      <c r="B246" s="71">
        <v>43100</v>
      </c>
      <c r="C246">
        <v>0</v>
      </c>
      <c r="D246" t="s">
        <v>1840</v>
      </c>
      <c r="E246" t="s">
        <v>1849</v>
      </c>
      <c r="F246">
        <v>12</v>
      </c>
      <c r="G246" t="s">
        <v>1863</v>
      </c>
    </row>
    <row r="247" spans="1:7" x14ac:dyDescent="0.25">
      <c r="A247" s="69" t="s">
        <v>201</v>
      </c>
      <c r="B247" s="71">
        <v>43190</v>
      </c>
      <c r="C247">
        <v>0</v>
      </c>
      <c r="D247" t="s">
        <v>1841</v>
      </c>
      <c r="E247" t="s">
        <v>1846</v>
      </c>
      <c r="F247">
        <v>3</v>
      </c>
      <c r="G247" t="s">
        <v>1860</v>
      </c>
    </row>
    <row r="248" spans="1:7" x14ac:dyDescent="0.25">
      <c r="A248" s="69" t="s">
        <v>201</v>
      </c>
      <c r="B248" s="71">
        <v>43281</v>
      </c>
      <c r="C248">
        <v>0</v>
      </c>
      <c r="D248" t="s">
        <v>1841</v>
      </c>
      <c r="E248" t="s">
        <v>1847</v>
      </c>
      <c r="F248">
        <v>6</v>
      </c>
      <c r="G248" t="s">
        <v>1861</v>
      </c>
    </row>
    <row r="249" spans="1:7" x14ac:dyDescent="0.25">
      <c r="A249" s="69" t="s">
        <v>201</v>
      </c>
      <c r="B249" s="71">
        <v>43373</v>
      </c>
      <c r="C249">
        <v>0</v>
      </c>
      <c r="D249" t="s">
        <v>1841</v>
      </c>
      <c r="E249" t="s">
        <v>1848</v>
      </c>
      <c r="F249">
        <v>9</v>
      </c>
      <c r="G249" t="s">
        <v>1862</v>
      </c>
    </row>
    <row r="250" spans="1:7" x14ac:dyDescent="0.25">
      <c r="A250" s="69" t="s">
        <v>201</v>
      </c>
      <c r="B250" s="71">
        <v>43465</v>
      </c>
      <c r="C250">
        <v>0</v>
      </c>
      <c r="D250" t="s">
        <v>1841</v>
      </c>
      <c r="E250" t="s">
        <v>1849</v>
      </c>
      <c r="F250">
        <v>12</v>
      </c>
      <c r="G250" t="s">
        <v>1863</v>
      </c>
    </row>
    <row r="251" spans="1:7" x14ac:dyDescent="0.25">
      <c r="A251" s="69" t="s">
        <v>201</v>
      </c>
      <c r="B251" s="71">
        <v>43921</v>
      </c>
      <c r="C251">
        <v>0</v>
      </c>
      <c r="D251" t="s">
        <v>1843</v>
      </c>
      <c r="E251" t="s">
        <v>1846</v>
      </c>
      <c r="F251">
        <v>3</v>
      </c>
      <c r="G251" t="s">
        <v>1860</v>
      </c>
    </row>
    <row r="252" spans="1:7" x14ac:dyDescent="0.25">
      <c r="A252" s="69" t="s">
        <v>201</v>
      </c>
      <c r="B252" s="71">
        <v>44012</v>
      </c>
      <c r="C252">
        <v>0</v>
      </c>
      <c r="D252" t="s">
        <v>1843</v>
      </c>
      <c r="E252" t="s">
        <v>1847</v>
      </c>
      <c r="F252">
        <v>6</v>
      </c>
      <c r="G252" t="s">
        <v>1861</v>
      </c>
    </row>
    <row r="253" spans="1:7" x14ac:dyDescent="0.25">
      <c r="A253" s="69" t="s">
        <v>201</v>
      </c>
      <c r="B253" s="71">
        <v>44104</v>
      </c>
      <c r="C253">
        <v>0</v>
      </c>
      <c r="D253" t="s">
        <v>1843</v>
      </c>
      <c r="E253" t="s">
        <v>1848</v>
      </c>
      <c r="F253">
        <v>9</v>
      </c>
      <c r="G253" t="s">
        <v>1862</v>
      </c>
    </row>
    <row r="254" spans="1:7" x14ac:dyDescent="0.25">
      <c r="A254" s="69" t="s">
        <v>201</v>
      </c>
      <c r="B254" s="71">
        <v>44196</v>
      </c>
      <c r="C254">
        <v>0</v>
      </c>
      <c r="D254" t="s">
        <v>1843</v>
      </c>
      <c r="E254" t="s">
        <v>1849</v>
      </c>
      <c r="F254">
        <v>12</v>
      </c>
      <c r="G254" t="s">
        <v>1863</v>
      </c>
    </row>
    <row r="255" spans="1:7" x14ac:dyDescent="0.25">
      <c r="A255" s="69" t="s">
        <v>201</v>
      </c>
      <c r="B255" s="71">
        <v>44286</v>
      </c>
      <c r="C255">
        <v>0</v>
      </c>
      <c r="D255" t="s">
        <v>1844</v>
      </c>
      <c r="E255" t="s">
        <v>1846</v>
      </c>
      <c r="F255">
        <v>3</v>
      </c>
      <c r="G255" t="s">
        <v>1860</v>
      </c>
    </row>
    <row r="256" spans="1:7" x14ac:dyDescent="0.25">
      <c r="A256" s="69" t="s">
        <v>201</v>
      </c>
      <c r="B256" s="71">
        <v>44377</v>
      </c>
      <c r="C256">
        <v>0</v>
      </c>
      <c r="D256" t="s">
        <v>1844</v>
      </c>
      <c r="E256" t="s">
        <v>1847</v>
      </c>
      <c r="F256">
        <v>6</v>
      </c>
      <c r="G256" t="s">
        <v>1861</v>
      </c>
    </row>
    <row r="257" spans="1:7" x14ac:dyDescent="0.25">
      <c r="A257" s="69" t="s">
        <v>201</v>
      </c>
      <c r="B257" s="71">
        <v>44469</v>
      </c>
      <c r="C257">
        <v>0</v>
      </c>
      <c r="D257" t="s">
        <v>1844</v>
      </c>
      <c r="E257" t="s">
        <v>1848</v>
      </c>
      <c r="F257">
        <v>9</v>
      </c>
      <c r="G257" t="s">
        <v>1862</v>
      </c>
    </row>
    <row r="258" spans="1:7" x14ac:dyDescent="0.25">
      <c r="A258" s="69" t="s">
        <v>201</v>
      </c>
      <c r="B258" s="71">
        <v>44561</v>
      </c>
      <c r="C258">
        <v>0</v>
      </c>
      <c r="D258" t="s">
        <v>1844</v>
      </c>
      <c r="E258" t="s">
        <v>1849</v>
      </c>
      <c r="F258">
        <v>12</v>
      </c>
      <c r="G258" t="s">
        <v>1863</v>
      </c>
    </row>
    <row r="259" spans="1:7" x14ac:dyDescent="0.25">
      <c r="A259" s="69" t="s">
        <v>201</v>
      </c>
      <c r="B259" s="71">
        <v>44651</v>
      </c>
      <c r="C259">
        <v>0</v>
      </c>
      <c r="D259" t="s">
        <v>1845</v>
      </c>
      <c r="E259" t="s">
        <v>1846</v>
      </c>
      <c r="F259">
        <v>3</v>
      </c>
      <c r="G259" t="s">
        <v>1860</v>
      </c>
    </row>
    <row r="260" spans="1:7" x14ac:dyDescent="0.25">
      <c r="A260" s="69" t="s">
        <v>201</v>
      </c>
      <c r="B260" s="71">
        <v>44742</v>
      </c>
      <c r="C260">
        <v>0</v>
      </c>
      <c r="D260" t="s">
        <v>1845</v>
      </c>
      <c r="E260" t="s">
        <v>1847</v>
      </c>
      <c r="F260">
        <v>6</v>
      </c>
      <c r="G260" t="s">
        <v>1861</v>
      </c>
    </row>
    <row r="261" spans="1:7" x14ac:dyDescent="0.25">
      <c r="A261" s="69" t="s">
        <v>201</v>
      </c>
      <c r="B261" s="71">
        <v>44834</v>
      </c>
      <c r="C261">
        <v>0</v>
      </c>
      <c r="D261" t="s">
        <v>1845</v>
      </c>
      <c r="E261" t="s">
        <v>1848</v>
      </c>
      <c r="F261">
        <v>9</v>
      </c>
      <c r="G261" t="s">
        <v>1862</v>
      </c>
    </row>
    <row r="262" spans="1:7" x14ac:dyDescent="0.25">
      <c r="A262" s="69" t="s">
        <v>201</v>
      </c>
      <c r="B262" s="71">
        <v>44926</v>
      </c>
      <c r="C262">
        <v>0</v>
      </c>
      <c r="D262" t="s">
        <v>1845</v>
      </c>
      <c r="E262" t="s">
        <v>1849</v>
      </c>
      <c r="F262">
        <v>12</v>
      </c>
      <c r="G262" t="s">
        <v>1863</v>
      </c>
    </row>
    <row r="263" spans="1:7" x14ac:dyDescent="0.25">
      <c r="A263" s="69" t="s">
        <v>204</v>
      </c>
      <c r="B263" s="71">
        <v>42460</v>
      </c>
      <c r="C263">
        <v>0</v>
      </c>
      <c r="D263" t="s">
        <v>1839</v>
      </c>
      <c r="E263" t="s">
        <v>1846</v>
      </c>
      <c r="F263">
        <v>3</v>
      </c>
      <c r="G263" t="s">
        <v>1860</v>
      </c>
    </row>
    <row r="264" spans="1:7" x14ac:dyDescent="0.25">
      <c r="A264" s="69" t="s">
        <v>204</v>
      </c>
      <c r="B264" s="71">
        <v>42551</v>
      </c>
      <c r="C264">
        <v>0</v>
      </c>
      <c r="D264" t="s">
        <v>1839</v>
      </c>
      <c r="E264" t="s">
        <v>1847</v>
      </c>
      <c r="F264">
        <v>6</v>
      </c>
      <c r="G264" t="s">
        <v>1861</v>
      </c>
    </row>
    <row r="265" spans="1:7" x14ac:dyDescent="0.25">
      <c r="A265" s="69" t="s">
        <v>204</v>
      </c>
      <c r="B265" s="71">
        <v>42825</v>
      </c>
      <c r="C265">
        <v>0</v>
      </c>
      <c r="D265" t="s">
        <v>1840</v>
      </c>
      <c r="E265" t="s">
        <v>1846</v>
      </c>
      <c r="F265">
        <v>3</v>
      </c>
      <c r="G265" t="s">
        <v>1860</v>
      </c>
    </row>
    <row r="266" spans="1:7" x14ac:dyDescent="0.25">
      <c r="A266" s="69" t="s">
        <v>204</v>
      </c>
      <c r="B266" s="71">
        <v>42916</v>
      </c>
      <c r="C266">
        <v>0</v>
      </c>
      <c r="D266" t="s">
        <v>1840</v>
      </c>
      <c r="E266" t="s">
        <v>1847</v>
      </c>
      <c r="F266">
        <v>6</v>
      </c>
      <c r="G266" t="s">
        <v>1861</v>
      </c>
    </row>
    <row r="267" spans="1:7" x14ac:dyDescent="0.25">
      <c r="A267" s="69" t="s">
        <v>204</v>
      </c>
      <c r="B267" s="71">
        <v>43008</v>
      </c>
      <c r="C267">
        <v>0</v>
      </c>
      <c r="D267" t="s">
        <v>1840</v>
      </c>
      <c r="E267" t="s">
        <v>1848</v>
      </c>
      <c r="F267">
        <v>9</v>
      </c>
      <c r="G267" t="s">
        <v>1862</v>
      </c>
    </row>
    <row r="268" spans="1:7" x14ac:dyDescent="0.25">
      <c r="A268" s="69" t="s">
        <v>204</v>
      </c>
      <c r="B268" s="71">
        <v>43100</v>
      </c>
      <c r="C268">
        <v>0</v>
      </c>
      <c r="D268" t="s">
        <v>1840</v>
      </c>
      <c r="E268" t="s">
        <v>1849</v>
      </c>
      <c r="F268">
        <v>12</v>
      </c>
      <c r="G268" t="s">
        <v>1863</v>
      </c>
    </row>
    <row r="269" spans="1:7" x14ac:dyDescent="0.25">
      <c r="A269" s="69" t="s">
        <v>204</v>
      </c>
      <c r="B269" s="71">
        <v>43190</v>
      </c>
      <c r="C269">
        <v>0</v>
      </c>
      <c r="D269" t="s">
        <v>1841</v>
      </c>
      <c r="E269" t="s">
        <v>1846</v>
      </c>
      <c r="F269">
        <v>3</v>
      </c>
      <c r="G269" t="s">
        <v>1860</v>
      </c>
    </row>
    <row r="270" spans="1:7" x14ac:dyDescent="0.25">
      <c r="A270" s="69" t="s">
        <v>204</v>
      </c>
      <c r="B270" s="71">
        <v>43281</v>
      </c>
      <c r="C270">
        <v>0</v>
      </c>
      <c r="D270" t="s">
        <v>1841</v>
      </c>
      <c r="E270" t="s">
        <v>1847</v>
      </c>
      <c r="F270">
        <v>6</v>
      </c>
      <c r="G270" t="s">
        <v>1861</v>
      </c>
    </row>
    <row r="271" spans="1:7" x14ac:dyDescent="0.25">
      <c r="A271" s="69" t="s">
        <v>204</v>
      </c>
      <c r="B271" s="71">
        <v>43373</v>
      </c>
      <c r="C271">
        <v>0</v>
      </c>
      <c r="D271" t="s">
        <v>1841</v>
      </c>
      <c r="E271" t="s">
        <v>1848</v>
      </c>
      <c r="F271">
        <v>9</v>
      </c>
      <c r="G271" t="s">
        <v>1862</v>
      </c>
    </row>
    <row r="272" spans="1:7" x14ac:dyDescent="0.25">
      <c r="A272" s="69" t="s">
        <v>204</v>
      </c>
      <c r="B272" s="71">
        <v>43465</v>
      </c>
      <c r="C272">
        <v>0</v>
      </c>
      <c r="D272" t="s">
        <v>1841</v>
      </c>
      <c r="E272" t="s">
        <v>1849</v>
      </c>
      <c r="F272">
        <v>12</v>
      </c>
      <c r="G272" t="s">
        <v>1863</v>
      </c>
    </row>
    <row r="273" spans="1:7" x14ac:dyDescent="0.25">
      <c r="A273" s="69" t="s">
        <v>204</v>
      </c>
      <c r="B273" s="71">
        <v>43555</v>
      </c>
      <c r="C273">
        <v>0</v>
      </c>
      <c r="D273" t="s">
        <v>1842</v>
      </c>
      <c r="E273" t="s">
        <v>1846</v>
      </c>
      <c r="F273">
        <v>3</v>
      </c>
      <c r="G273" t="s">
        <v>1860</v>
      </c>
    </row>
    <row r="274" spans="1:7" x14ac:dyDescent="0.25">
      <c r="A274" s="69" t="s">
        <v>204</v>
      </c>
      <c r="B274" s="71">
        <v>43646</v>
      </c>
      <c r="C274">
        <v>0</v>
      </c>
      <c r="D274" t="s">
        <v>1842</v>
      </c>
      <c r="E274" t="s">
        <v>1847</v>
      </c>
      <c r="F274">
        <v>6</v>
      </c>
      <c r="G274" t="s">
        <v>1861</v>
      </c>
    </row>
    <row r="275" spans="1:7" x14ac:dyDescent="0.25">
      <c r="A275" s="69" t="s">
        <v>204</v>
      </c>
      <c r="B275" s="71">
        <v>43921</v>
      </c>
      <c r="C275">
        <v>0</v>
      </c>
      <c r="D275" t="s">
        <v>1843</v>
      </c>
      <c r="E275" t="s">
        <v>1846</v>
      </c>
      <c r="F275">
        <v>3</v>
      </c>
      <c r="G275" t="s">
        <v>1860</v>
      </c>
    </row>
    <row r="276" spans="1:7" x14ac:dyDescent="0.25">
      <c r="A276" s="69" t="s">
        <v>204</v>
      </c>
      <c r="B276" s="71">
        <v>44012</v>
      </c>
      <c r="C276">
        <v>0</v>
      </c>
      <c r="D276" t="s">
        <v>1843</v>
      </c>
      <c r="E276" t="s">
        <v>1847</v>
      </c>
      <c r="F276">
        <v>6</v>
      </c>
      <c r="G276" t="s">
        <v>1861</v>
      </c>
    </row>
    <row r="277" spans="1:7" x14ac:dyDescent="0.25">
      <c r="A277" s="69" t="s">
        <v>204</v>
      </c>
      <c r="B277" s="71">
        <v>44104</v>
      </c>
      <c r="C277">
        <v>0</v>
      </c>
      <c r="D277" t="s">
        <v>1843</v>
      </c>
      <c r="E277" t="s">
        <v>1848</v>
      </c>
      <c r="F277">
        <v>9</v>
      </c>
      <c r="G277" t="s">
        <v>1862</v>
      </c>
    </row>
    <row r="278" spans="1:7" x14ac:dyDescent="0.25">
      <c r="A278" s="69" t="s">
        <v>204</v>
      </c>
      <c r="B278" s="71">
        <v>44196</v>
      </c>
      <c r="C278">
        <v>0</v>
      </c>
      <c r="D278" t="s">
        <v>1843</v>
      </c>
      <c r="E278" t="s">
        <v>1849</v>
      </c>
      <c r="F278">
        <v>12</v>
      </c>
      <c r="G278" t="s">
        <v>1863</v>
      </c>
    </row>
    <row r="279" spans="1:7" x14ac:dyDescent="0.25">
      <c r="A279" s="69" t="s">
        <v>204</v>
      </c>
      <c r="B279" s="71">
        <v>44286</v>
      </c>
      <c r="C279">
        <v>0</v>
      </c>
      <c r="D279" t="s">
        <v>1844</v>
      </c>
      <c r="E279" t="s">
        <v>1846</v>
      </c>
      <c r="F279">
        <v>3</v>
      </c>
      <c r="G279" t="s">
        <v>1860</v>
      </c>
    </row>
    <row r="280" spans="1:7" x14ac:dyDescent="0.25">
      <c r="A280" s="69" t="s">
        <v>204</v>
      </c>
      <c r="B280" s="71">
        <v>44377</v>
      </c>
      <c r="C280">
        <v>0</v>
      </c>
      <c r="D280" t="s">
        <v>1844</v>
      </c>
      <c r="E280" t="s">
        <v>1847</v>
      </c>
      <c r="F280">
        <v>6</v>
      </c>
      <c r="G280" t="s">
        <v>1861</v>
      </c>
    </row>
    <row r="281" spans="1:7" x14ac:dyDescent="0.25">
      <c r="A281" s="69" t="s">
        <v>204</v>
      </c>
      <c r="B281" s="71">
        <v>44469</v>
      </c>
      <c r="C281">
        <v>0</v>
      </c>
      <c r="D281" t="s">
        <v>1844</v>
      </c>
      <c r="E281" t="s">
        <v>1848</v>
      </c>
      <c r="F281">
        <v>9</v>
      </c>
      <c r="G281" t="s">
        <v>1862</v>
      </c>
    </row>
    <row r="282" spans="1:7" x14ac:dyDescent="0.25">
      <c r="A282" s="69" t="s">
        <v>204</v>
      </c>
      <c r="B282" s="71">
        <v>44561</v>
      </c>
      <c r="C282">
        <v>0</v>
      </c>
      <c r="D282" t="s">
        <v>1844</v>
      </c>
      <c r="E282" t="s">
        <v>1849</v>
      </c>
      <c r="F282">
        <v>12</v>
      </c>
      <c r="G282" t="s">
        <v>1863</v>
      </c>
    </row>
    <row r="283" spans="1:7" x14ac:dyDescent="0.25">
      <c r="A283" s="69" t="s">
        <v>204</v>
      </c>
      <c r="B283" s="71">
        <v>44651</v>
      </c>
      <c r="C283">
        <v>0</v>
      </c>
      <c r="D283" t="s">
        <v>1845</v>
      </c>
      <c r="E283" t="s">
        <v>1846</v>
      </c>
      <c r="F283">
        <v>3</v>
      </c>
      <c r="G283" t="s">
        <v>1860</v>
      </c>
    </row>
    <row r="284" spans="1:7" x14ac:dyDescent="0.25">
      <c r="A284" s="69" t="s">
        <v>204</v>
      </c>
      <c r="B284" s="71">
        <v>44742</v>
      </c>
      <c r="C284">
        <v>0</v>
      </c>
      <c r="D284" t="s">
        <v>1845</v>
      </c>
      <c r="E284" t="s">
        <v>1847</v>
      </c>
      <c r="F284">
        <v>6</v>
      </c>
      <c r="G284" t="s">
        <v>1861</v>
      </c>
    </row>
    <row r="285" spans="1:7" x14ac:dyDescent="0.25">
      <c r="A285" s="69" t="s">
        <v>204</v>
      </c>
      <c r="B285" s="71">
        <v>44834</v>
      </c>
      <c r="C285">
        <v>0</v>
      </c>
      <c r="D285" t="s">
        <v>1845</v>
      </c>
      <c r="E285" t="s">
        <v>1848</v>
      </c>
      <c r="F285">
        <v>9</v>
      </c>
      <c r="G285" t="s">
        <v>1862</v>
      </c>
    </row>
    <row r="286" spans="1:7" x14ac:dyDescent="0.25">
      <c r="A286" s="69" t="s">
        <v>204</v>
      </c>
      <c r="B286" s="71">
        <v>44926</v>
      </c>
      <c r="C286">
        <v>0</v>
      </c>
      <c r="D286" t="s">
        <v>1845</v>
      </c>
      <c r="E286" t="s">
        <v>1849</v>
      </c>
      <c r="F286">
        <v>12</v>
      </c>
      <c r="G286" t="s">
        <v>1863</v>
      </c>
    </row>
    <row r="287" spans="1:7" x14ac:dyDescent="0.25">
      <c r="A287" s="69" t="s">
        <v>205</v>
      </c>
      <c r="B287" s="71">
        <v>42460</v>
      </c>
      <c r="C287">
        <v>0</v>
      </c>
      <c r="D287" t="s">
        <v>1839</v>
      </c>
      <c r="E287" t="s">
        <v>1846</v>
      </c>
      <c r="F287">
        <v>3</v>
      </c>
      <c r="G287" t="s">
        <v>1860</v>
      </c>
    </row>
    <row r="288" spans="1:7" x14ac:dyDescent="0.25">
      <c r="A288" s="69" t="s">
        <v>205</v>
      </c>
      <c r="B288" s="71">
        <v>42551</v>
      </c>
      <c r="C288">
        <v>0</v>
      </c>
      <c r="D288" t="s">
        <v>1839</v>
      </c>
      <c r="E288" t="s">
        <v>1847</v>
      </c>
      <c r="F288">
        <v>6</v>
      </c>
      <c r="G288" t="s">
        <v>1861</v>
      </c>
    </row>
    <row r="289" spans="1:7" x14ac:dyDescent="0.25">
      <c r="A289" s="69" t="s">
        <v>205</v>
      </c>
      <c r="B289" s="71">
        <v>42643</v>
      </c>
      <c r="C289">
        <v>0</v>
      </c>
      <c r="D289" t="s">
        <v>1839</v>
      </c>
      <c r="E289" t="s">
        <v>1848</v>
      </c>
      <c r="F289">
        <v>9</v>
      </c>
      <c r="G289" t="s">
        <v>1862</v>
      </c>
    </row>
    <row r="290" spans="1:7" x14ac:dyDescent="0.25">
      <c r="A290" s="69" t="s">
        <v>205</v>
      </c>
      <c r="B290" s="71">
        <v>42735</v>
      </c>
      <c r="C290">
        <v>0</v>
      </c>
      <c r="D290" t="s">
        <v>1839</v>
      </c>
      <c r="E290" t="s">
        <v>1849</v>
      </c>
      <c r="F290">
        <v>12</v>
      </c>
      <c r="G290" t="s">
        <v>1863</v>
      </c>
    </row>
    <row r="291" spans="1:7" x14ac:dyDescent="0.25">
      <c r="A291" s="69" t="s">
        <v>205</v>
      </c>
      <c r="B291" s="71">
        <v>42825</v>
      </c>
      <c r="C291">
        <v>0</v>
      </c>
      <c r="D291" t="s">
        <v>1840</v>
      </c>
      <c r="E291" t="s">
        <v>1846</v>
      </c>
      <c r="F291">
        <v>3</v>
      </c>
      <c r="G291" t="s">
        <v>1860</v>
      </c>
    </row>
    <row r="292" spans="1:7" x14ac:dyDescent="0.25">
      <c r="A292" s="69" t="s">
        <v>205</v>
      </c>
      <c r="B292" s="71">
        <v>42916</v>
      </c>
      <c r="C292">
        <v>0</v>
      </c>
      <c r="D292" t="s">
        <v>1840</v>
      </c>
      <c r="E292" t="s">
        <v>1847</v>
      </c>
      <c r="F292">
        <v>6</v>
      </c>
      <c r="G292" t="s">
        <v>1861</v>
      </c>
    </row>
    <row r="293" spans="1:7" x14ac:dyDescent="0.25">
      <c r="A293" s="69" t="s">
        <v>205</v>
      </c>
      <c r="B293" s="71">
        <v>43008</v>
      </c>
      <c r="C293">
        <v>0</v>
      </c>
      <c r="D293" t="s">
        <v>1840</v>
      </c>
      <c r="E293" t="s">
        <v>1848</v>
      </c>
      <c r="F293">
        <v>9</v>
      </c>
      <c r="G293" t="s">
        <v>1862</v>
      </c>
    </row>
    <row r="294" spans="1:7" x14ac:dyDescent="0.25">
      <c r="A294" s="69" t="s">
        <v>205</v>
      </c>
      <c r="B294" s="71">
        <v>43100</v>
      </c>
      <c r="C294">
        <v>0</v>
      </c>
      <c r="D294" t="s">
        <v>1840</v>
      </c>
      <c r="E294" t="s">
        <v>1849</v>
      </c>
      <c r="F294">
        <v>12</v>
      </c>
      <c r="G294" t="s">
        <v>1863</v>
      </c>
    </row>
    <row r="295" spans="1:7" x14ac:dyDescent="0.25">
      <c r="A295" s="69" t="s">
        <v>205</v>
      </c>
      <c r="B295" s="71">
        <v>43190</v>
      </c>
      <c r="C295">
        <v>0</v>
      </c>
      <c r="D295" t="s">
        <v>1841</v>
      </c>
      <c r="E295" t="s">
        <v>1846</v>
      </c>
      <c r="F295">
        <v>3</v>
      </c>
      <c r="G295" t="s">
        <v>1860</v>
      </c>
    </row>
    <row r="296" spans="1:7" x14ac:dyDescent="0.25">
      <c r="A296" s="69" t="s">
        <v>205</v>
      </c>
      <c r="B296" s="71">
        <v>43281</v>
      </c>
      <c r="C296">
        <v>0</v>
      </c>
      <c r="D296" t="s">
        <v>1841</v>
      </c>
      <c r="E296" t="s">
        <v>1847</v>
      </c>
      <c r="F296">
        <v>6</v>
      </c>
      <c r="G296" t="s">
        <v>1861</v>
      </c>
    </row>
    <row r="297" spans="1:7" x14ac:dyDescent="0.25">
      <c r="A297" s="69" t="s">
        <v>205</v>
      </c>
      <c r="B297" s="71">
        <v>43373</v>
      </c>
      <c r="C297">
        <v>0</v>
      </c>
      <c r="D297" t="s">
        <v>1841</v>
      </c>
      <c r="E297" t="s">
        <v>1848</v>
      </c>
      <c r="F297">
        <v>9</v>
      </c>
      <c r="G297" t="s">
        <v>1862</v>
      </c>
    </row>
    <row r="298" spans="1:7" x14ac:dyDescent="0.25">
      <c r="A298" s="69" t="s">
        <v>205</v>
      </c>
      <c r="B298" s="71">
        <v>43465</v>
      </c>
      <c r="C298">
        <v>0</v>
      </c>
      <c r="D298" t="s">
        <v>1841</v>
      </c>
      <c r="E298" t="s">
        <v>1849</v>
      </c>
      <c r="F298">
        <v>12</v>
      </c>
      <c r="G298" t="s">
        <v>1863</v>
      </c>
    </row>
    <row r="299" spans="1:7" x14ac:dyDescent="0.25">
      <c r="A299" s="69" t="s">
        <v>205</v>
      </c>
      <c r="B299" s="71">
        <v>43738</v>
      </c>
      <c r="C299">
        <v>0</v>
      </c>
      <c r="D299" t="s">
        <v>1842</v>
      </c>
      <c r="E299" t="s">
        <v>1848</v>
      </c>
      <c r="F299">
        <v>9</v>
      </c>
      <c r="G299" t="s">
        <v>1862</v>
      </c>
    </row>
    <row r="300" spans="1:7" x14ac:dyDescent="0.25">
      <c r="A300" s="69" t="s">
        <v>205</v>
      </c>
      <c r="B300" s="71">
        <v>43830</v>
      </c>
      <c r="C300">
        <v>0</v>
      </c>
      <c r="D300" t="s">
        <v>1842</v>
      </c>
      <c r="E300" t="s">
        <v>1849</v>
      </c>
      <c r="F300">
        <v>12</v>
      </c>
      <c r="G300" t="s">
        <v>1863</v>
      </c>
    </row>
    <row r="301" spans="1:7" x14ac:dyDescent="0.25">
      <c r="A301" s="69" t="s">
        <v>205</v>
      </c>
      <c r="B301" s="71">
        <v>43921</v>
      </c>
      <c r="C301">
        <v>0</v>
      </c>
      <c r="D301" t="s">
        <v>1843</v>
      </c>
      <c r="E301" t="s">
        <v>1846</v>
      </c>
      <c r="F301">
        <v>3</v>
      </c>
      <c r="G301" t="s">
        <v>1860</v>
      </c>
    </row>
    <row r="302" spans="1:7" x14ac:dyDescent="0.25">
      <c r="A302" s="69" t="s">
        <v>205</v>
      </c>
      <c r="B302" s="71">
        <v>44012</v>
      </c>
      <c r="C302">
        <v>0</v>
      </c>
      <c r="D302" t="s">
        <v>1843</v>
      </c>
      <c r="E302" t="s">
        <v>1847</v>
      </c>
      <c r="F302">
        <v>6</v>
      </c>
      <c r="G302" t="s">
        <v>1861</v>
      </c>
    </row>
    <row r="303" spans="1:7" x14ac:dyDescent="0.25">
      <c r="A303" s="69" t="s">
        <v>205</v>
      </c>
      <c r="B303" s="71">
        <v>44104</v>
      </c>
      <c r="C303">
        <v>0</v>
      </c>
      <c r="D303" t="s">
        <v>1843</v>
      </c>
      <c r="E303" t="s">
        <v>1848</v>
      </c>
      <c r="F303">
        <v>9</v>
      </c>
      <c r="G303" t="s">
        <v>1862</v>
      </c>
    </row>
    <row r="304" spans="1:7" x14ac:dyDescent="0.25">
      <c r="A304" s="69" t="s">
        <v>205</v>
      </c>
      <c r="B304" s="71">
        <v>44196</v>
      </c>
      <c r="C304">
        <v>0</v>
      </c>
      <c r="D304" t="s">
        <v>1843</v>
      </c>
      <c r="E304" t="s">
        <v>1849</v>
      </c>
      <c r="F304">
        <v>12</v>
      </c>
      <c r="G304" t="s">
        <v>1863</v>
      </c>
    </row>
    <row r="305" spans="1:7" x14ac:dyDescent="0.25">
      <c r="A305" s="69" t="s">
        <v>205</v>
      </c>
      <c r="B305" s="71">
        <v>44286</v>
      </c>
      <c r="C305">
        <v>0</v>
      </c>
      <c r="D305" t="s">
        <v>1844</v>
      </c>
      <c r="E305" t="s">
        <v>1846</v>
      </c>
      <c r="F305">
        <v>3</v>
      </c>
      <c r="G305" t="s">
        <v>1860</v>
      </c>
    </row>
    <row r="306" spans="1:7" x14ac:dyDescent="0.25">
      <c r="A306" s="69" t="s">
        <v>205</v>
      </c>
      <c r="B306" s="71">
        <v>44377</v>
      </c>
      <c r="C306">
        <v>0</v>
      </c>
      <c r="D306" t="s">
        <v>1844</v>
      </c>
      <c r="E306" t="s">
        <v>1847</v>
      </c>
      <c r="F306">
        <v>6</v>
      </c>
      <c r="G306" t="s">
        <v>1861</v>
      </c>
    </row>
    <row r="307" spans="1:7" x14ac:dyDescent="0.25">
      <c r="A307" s="69" t="s">
        <v>205</v>
      </c>
      <c r="B307" s="71">
        <v>44469</v>
      </c>
      <c r="C307">
        <v>0</v>
      </c>
      <c r="D307" t="s">
        <v>1844</v>
      </c>
      <c r="E307" t="s">
        <v>1848</v>
      </c>
      <c r="F307">
        <v>9</v>
      </c>
      <c r="G307" t="s">
        <v>1862</v>
      </c>
    </row>
    <row r="308" spans="1:7" x14ac:dyDescent="0.25">
      <c r="A308" s="69" t="s">
        <v>205</v>
      </c>
      <c r="B308" s="71">
        <v>44561</v>
      </c>
      <c r="C308">
        <v>0</v>
      </c>
      <c r="D308" t="s">
        <v>1844</v>
      </c>
      <c r="E308" t="s">
        <v>1849</v>
      </c>
      <c r="F308">
        <v>12</v>
      </c>
      <c r="G308" t="s">
        <v>1863</v>
      </c>
    </row>
    <row r="309" spans="1:7" x14ac:dyDescent="0.25">
      <c r="A309" s="69" t="s">
        <v>205</v>
      </c>
      <c r="B309" s="71">
        <v>44651</v>
      </c>
      <c r="C309">
        <v>0</v>
      </c>
      <c r="D309" t="s">
        <v>1845</v>
      </c>
      <c r="E309" t="s">
        <v>1846</v>
      </c>
      <c r="F309">
        <v>3</v>
      </c>
      <c r="G309" t="s">
        <v>1860</v>
      </c>
    </row>
    <row r="310" spans="1:7" x14ac:dyDescent="0.25">
      <c r="A310" s="69" t="s">
        <v>205</v>
      </c>
      <c r="B310" s="71">
        <v>44742</v>
      </c>
      <c r="C310">
        <v>0</v>
      </c>
      <c r="D310" t="s">
        <v>1845</v>
      </c>
      <c r="E310" t="s">
        <v>1847</v>
      </c>
      <c r="F310">
        <v>6</v>
      </c>
      <c r="G310" t="s">
        <v>1861</v>
      </c>
    </row>
    <row r="311" spans="1:7" x14ac:dyDescent="0.25">
      <c r="A311" s="69" t="s">
        <v>205</v>
      </c>
      <c r="B311" s="71">
        <v>44834</v>
      </c>
      <c r="C311">
        <v>0</v>
      </c>
      <c r="D311" t="s">
        <v>1845</v>
      </c>
      <c r="E311" t="s">
        <v>1848</v>
      </c>
      <c r="F311">
        <v>9</v>
      </c>
      <c r="G311" t="s">
        <v>1862</v>
      </c>
    </row>
    <row r="312" spans="1:7" x14ac:dyDescent="0.25">
      <c r="A312" s="69" t="s">
        <v>205</v>
      </c>
      <c r="B312" s="71">
        <v>44926</v>
      </c>
      <c r="C312">
        <v>0</v>
      </c>
      <c r="D312" t="s">
        <v>1845</v>
      </c>
      <c r="E312" t="s">
        <v>1849</v>
      </c>
      <c r="F312">
        <v>12</v>
      </c>
      <c r="G312" t="s">
        <v>1863</v>
      </c>
    </row>
    <row r="313" spans="1:7" x14ac:dyDescent="0.25">
      <c r="A313" s="69" t="s">
        <v>213</v>
      </c>
      <c r="B313" s="71">
        <v>42460</v>
      </c>
      <c r="C313">
        <v>0</v>
      </c>
      <c r="D313" t="s">
        <v>1839</v>
      </c>
      <c r="E313" t="s">
        <v>1846</v>
      </c>
      <c r="F313">
        <v>3</v>
      </c>
      <c r="G313" t="s">
        <v>1860</v>
      </c>
    </row>
    <row r="314" spans="1:7" x14ac:dyDescent="0.25">
      <c r="A314" s="69" t="s">
        <v>213</v>
      </c>
      <c r="B314" s="71">
        <v>42551</v>
      </c>
      <c r="C314">
        <v>0</v>
      </c>
      <c r="D314" t="s">
        <v>1839</v>
      </c>
      <c r="E314" t="s">
        <v>1847</v>
      </c>
      <c r="F314">
        <v>6</v>
      </c>
      <c r="G314" t="s">
        <v>1861</v>
      </c>
    </row>
    <row r="315" spans="1:7" x14ac:dyDescent="0.25">
      <c r="A315" s="69" t="s">
        <v>213</v>
      </c>
      <c r="B315" s="71">
        <v>42643</v>
      </c>
      <c r="C315">
        <v>0</v>
      </c>
      <c r="D315" t="s">
        <v>1839</v>
      </c>
      <c r="E315" t="s">
        <v>1848</v>
      </c>
      <c r="F315">
        <v>9</v>
      </c>
      <c r="G315" t="s">
        <v>1862</v>
      </c>
    </row>
    <row r="316" spans="1:7" x14ac:dyDescent="0.25">
      <c r="A316" s="69" t="s">
        <v>213</v>
      </c>
      <c r="B316" s="71">
        <v>42735</v>
      </c>
      <c r="C316">
        <v>0</v>
      </c>
      <c r="D316" t="s">
        <v>1839</v>
      </c>
      <c r="E316" t="s">
        <v>1849</v>
      </c>
      <c r="F316">
        <v>12</v>
      </c>
      <c r="G316" t="s">
        <v>1863</v>
      </c>
    </row>
    <row r="317" spans="1:7" x14ac:dyDescent="0.25">
      <c r="A317" s="69" t="s">
        <v>213</v>
      </c>
      <c r="B317" s="71">
        <v>42825</v>
      </c>
      <c r="C317">
        <v>0</v>
      </c>
      <c r="D317" t="s">
        <v>1840</v>
      </c>
      <c r="E317" t="s">
        <v>1846</v>
      </c>
      <c r="F317">
        <v>3</v>
      </c>
      <c r="G317" t="s">
        <v>1860</v>
      </c>
    </row>
    <row r="318" spans="1:7" x14ac:dyDescent="0.25">
      <c r="A318" s="69" t="s">
        <v>213</v>
      </c>
      <c r="B318" s="71">
        <v>42916</v>
      </c>
      <c r="C318">
        <v>0</v>
      </c>
      <c r="D318" t="s">
        <v>1840</v>
      </c>
      <c r="E318" t="s">
        <v>1847</v>
      </c>
      <c r="F318">
        <v>6</v>
      </c>
      <c r="G318" t="s">
        <v>1861</v>
      </c>
    </row>
    <row r="319" spans="1:7" x14ac:dyDescent="0.25">
      <c r="A319" s="69" t="s">
        <v>213</v>
      </c>
      <c r="B319" s="71">
        <v>43008</v>
      </c>
      <c r="C319">
        <v>0</v>
      </c>
      <c r="D319" t="s">
        <v>1840</v>
      </c>
      <c r="E319" t="s">
        <v>1848</v>
      </c>
      <c r="F319">
        <v>9</v>
      </c>
      <c r="G319" t="s">
        <v>1862</v>
      </c>
    </row>
    <row r="320" spans="1:7" x14ac:dyDescent="0.25">
      <c r="A320" s="69" t="s">
        <v>213</v>
      </c>
      <c r="B320" s="71">
        <v>43100</v>
      </c>
      <c r="C320">
        <v>0</v>
      </c>
      <c r="D320" t="s">
        <v>1840</v>
      </c>
      <c r="E320" t="s">
        <v>1849</v>
      </c>
      <c r="F320">
        <v>12</v>
      </c>
      <c r="G320" t="s">
        <v>1863</v>
      </c>
    </row>
    <row r="321" spans="1:7" x14ac:dyDescent="0.25">
      <c r="A321" s="69" t="s">
        <v>213</v>
      </c>
      <c r="B321" s="71">
        <v>43190</v>
      </c>
      <c r="C321">
        <v>0</v>
      </c>
      <c r="D321" t="s">
        <v>1841</v>
      </c>
      <c r="E321" t="s">
        <v>1846</v>
      </c>
      <c r="F321">
        <v>3</v>
      </c>
      <c r="G321" t="s">
        <v>1860</v>
      </c>
    </row>
    <row r="322" spans="1:7" x14ac:dyDescent="0.25">
      <c r="A322" s="69" t="s">
        <v>213</v>
      </c>
      <c r="B322" s="71">
        <v>43281</v>
      </c>
      <c r="C322">
        <v>0</v>
      </c>
      <c r="D322" t="s">
        <v>1841</v>
      </c>
      <c r="E322" t="s">
        <v>1847</v>
      </c>
      <c r="F322">
        <v>6</v>
      </c>
      <c r="G322" t="s">
        <v>1861</v>
      </c>
    </row>
    <row r="323" spans="1:7" x14ac:dyDescent="0.25">
      <c r="A323" s="69" t="s">
        <v>213</v>
      </c>
      <c r="B323" s="71">
        <v>43373</v>
      </c>
      <c r="C323">
        <v>0</v>
      </c>
      <c r="D323" t="s">
        <v>1841</v>
      </c>
      <c r="E323" t="s">
        <v>1848</v>
      </c>
      <c r="F323">
        <v>9</v>
      </c>
      <c r="G323" t="s">
        <v>1862</v>
      </c>
    </row>
    <row r="324" spans="1:7" x14ac:dyDescent="0.25">
      <c r="A324" s="69" t="s">
        <v>213</v>
      </c>
      <c r="B324" s="71">
        <v>43465</v>
      </c>
      <c r="C324">
        <v>0</v>
      </c>
      <c r="D324" t="s">
        <v>1841</v>
      </c>
      <c r="E324" t="s">
        <v>1849</v>
      </c>
      <c r="F324">
        <v>12</v>
      </c>
      <c r="G324" t="s">
        <v>1863</v>
      </c>
    </row>
    <row r="325" spans="1:7" x14ac:dyDescent="0.25">
      <c r="A325" s="69" t="s">
        <v>213</v>
      </c>
      <c r="B325" s="71">
        <v>43830</v>
      </c>
      <c r="C325">
        <v>0</v>
      </c>
      <c r="D325" t="s">
        <v>1842</v>
      </c>
      <c r="E325" t="s">
        <v>1849</v>
      </c>
      <c r="F325">
        <v>12</v>
      </c>
      <c r="G325" t="s">
        <v>1863</v>
      </c>
    </row>
    <row r="326" spans="1:7" x14ac:dyDescent="0.25">
      <c r="A326" s="69" t="s">
        <v>213</v>
      </c>
      <c r="B326" s="71">
        <v>43921</v>
      </c>
      <c r="C326">
        <v>0</v>
      </c>
      <c r="D326" t="s">
        <v>1843</v>
      </c>
      <c r="E326" t="s">
        <v>1846</v>
      </c>
      <c r="F326">
        <v>3</v>
      </c>
      <c r="G326" t="s">
        <v>1860</v>
      </c>
    </row>
    <row r="327" spans="1:7" x14ac:dyDescent="0.25">
      <c r="A327" s="69" t="s">
        <v>213</v>
      </c>
      <c r="B327" s="71">
        <v>44012</v>
      </c>
      <c r="C327">
        <v>0</v>
      </c>
      <c r="D327" t="s">
        <v>1843</v>
      </c>
      <c r="E327" t="s">
        <v>1847</v>
      </c>
      <c r="F327">
        <v>6</v>
      </c>
      <c r="G327" t="s">
        <v>1861</v>
      </c>
    </row>
    <row r="328" spans="1:7" x14ac:dyDescent="0.25">
      <c r="A328" s="69" t="s">
        <v>213</v>
      </c>
      <c r="B328" s="71">
        <v>44104</v>
      </c>
      <c r="C328">
        <v>0</v>
      </c>
      <c r="D328" t="s">
        <v>1843</v>
      </c>
      <c r="E328" t="s">
        <v>1848</v>
      </c>
      <c r="F328">
        <v>9</v>
      </c>
      <c r="G328" t="s">
        <v>1862</v>
      </c>
    </row>
    <row r="329" spans="1:7" x14ac:dyDescent="0.25">
      <c r="A329" s="69" t="s">
        <v>213</v>
      </c>
      <c r="B329" s="71">
        <v>44196</v>
      </c>
      <c r="C329">
        <v>0</v>
      </c>
      <c r="D329" t="s">
        <v>1843</v>
      </c>
      <c r="E329" t="s">
        <v>1849</v>
      </c>
      <c r="F329">
        <v>12</v>
      </c>
      <c r="G329" t="s">
        <v>1863</v>
      </c>
    </row>
    <row r="330" spans="1:7" x14ac:dyDescent="0.25">
      <c r="A330" s="69" t="s">
        <v>213</v>
      </c>
      <c r="B330" s="71">
        <v>44286</v>
      </c>
      <c r="C330">
        <v>0</v>
      </c>
      <c r="D330" t="s">
        <v>1844</v>
      </c>
      <c r="E330" t="s">
        <v>1846</v>
      </c>
      <c r="F330">
        <v>3</v>
      </c>
      <c r="G330" t="s">
        <v>1860</v>
      </c>
    </row>
    <row r="331" spans="1:7" x14ac:dyDescent="0.25">
      <c r="A331" s="69" t="s">
        <v>213</v>
      </c>
      <c r="B331" s="71">
        <v>44377</v>
      </c>
      <c r="C331">
        <v>0</v>
      </c>
      <c r="D331" t="s">
        <v>1844</v>
      </c>
      <c r="E331" t="s">
        <v>1847</v>
      </c>
      <c r="F331">
        <v>6</v>
      </c>
      <c r="G331" t="s">
        <v>1861</v>
      </c>
    </row>
    <row r="332" spans="1:7" x14ac:dyDescent="0.25">
      <c r="A332" s="69" t="s">
        <v>213</v>
      </c>
      <c r="B332" s="71">
        <v>44469</v>
      </c>
      <c r="C332">
        <v>0</v>
      </c>
      <c r="D332" t="s">
        <v>1844</v>
      </c>
      <c r="E332" t="s">
        <v>1848</v>
      </c>
      <c r="F332">
        <v>9</v>
      </c>
      <c r="G332" t="s">
        <v>1862</v>
      </c>
    </row>
    <row r="333" spans="1:7" x14ac:dyDescent="0.25">
      <c r="A333" s="69" t="s">
        <v>213</v>
      </c>
      <c r="B333" s="71">
        <v>44561</v>
      </c>
      <c r="C333">
        <v>0</v>
      </c>
      <c r="D333" t="s">
        <v>1844</v>
      </c>
      <c r="E333" t="s">
        <v>1849</v>
      </c>
      <c r="F333">
        <v>12</v>
      </c>
      <c r="G333" t="s">
        <v>1863</v>
      </c>
    </row>
    <row r="334" spans="1:7" x14ac:dyDescent="0.25">
      <c r="A334" s="69" t="s">
        <v>213</v>
      </c>
      <c r="B334" s="71">
        <v>44651</v>
      </c>
      <c r="C334">
        <v>0</v>
      </c>
      <c r="D334" t="s">
        <v>1845</v>
      </c>
      <c r="E334" t="s">
        <v>1846</v>
      </c>
      <c r="F334">
        <v>3</v>
      </c>
      <c r="G334" t="s">
        <v>1860</v>
      </c>
    </row>
    <row r="335" spans="1:7" x14ac:dyDescent="0.25">
      <c r="A335" s="69" t="s">
        <v>213</v>
      </c>
      <c r="B335" s="71">
        <v>44742</v>
      </c>
      <c r="C335">
        <v>0</v>
      </c>
      <c r="D335" t="s">
        <v>1845</v>
      </c>
      <c r="E335" t="s">
        <v>1847</v>
      </c>
      <c r="F335">
        <v>6</v>
      </c>
      <c r="G335" t="s">
        <v>1861</v>
      </c>
    </row>
    <row r="336" spans="1:7" x14ac:dyDescent="0.25">
      <c r="A336" s="69" t="s">
        <v>213</v>
      </c>
      <c r="B336" s="71">
        <v>44834</v>
      </c>
      <c r="C336">
        <v>0</v>
      </c>
      <c r="D336" t="s">
        <v>1845</v>
      </c>
      <c r="E336" t="s">
        <v>1848</v>
      </c>
      <c r="F336">
        <v>9</v>
      </c>
      <c r="G336" t="s">
        <v>1862</v>
      </c>
    </row>
    <row r="337" spans="1:7" x14ac:dyDescent="0.25">
      <c r="A337" s="69" t="s">
        <v>213</v>
      </c>
      <c r="B337" s="71">
        <v>44926</v>
      </c>
      <c r="C337">
        <v>0</v>
      </c>
      <c r="D337" t="s">
        <v>1845</v>
      </c>
      <c r="E337" t="s">
        <v>1849</v>
      </c>
      <c r="F337">
        <v>12</v>
      </c>
      <c r="G337" t="s">
        <v>1863</v>
      </c>
    </row>
    <row r="338" spans="1:7" x14ac:dyDescent="0.25">
      <c r="A338" s="69" t="s">
        <v>215</v>
      </c>
      <c r="B338" s="71">
        <v>42460</v>
      </c>
      <c r="C338">
        <v>0</v>
      </c>
      <c r="D338" t="s">
        <v>1839</v>
      </c>
      <c r="E338" t="s">
        <v>1846</v>
      </c>
      <c r="F338">
        <v>3</v>
      </c>
      <c r="G338" t="s">
        <v>1860</v>
      </c>
    </row>
    <row r="339" spans="1:7" x14ac:dyDescent="0.25">
      <c r="A339" s="69" t="s">
        <v>215</v>
      </c>
      <c r="B339" s="71">
        <v>42551</v>
      </c>
      <c r="C339">
        <v>0</v>
      </c>
      <c r="D339" t="s">
        <v>1839</v>
      </c>
      <c r="E339" t="s">
        <v>1847</v>
      </c>
      <c r="F339">
        <v>6</v>
      </c>
      <c r="G339" t="s">
        <v>1861</v>
      </c>
    </row>
    <row r="340" spans="1:7" x14ac:dyDescent="0.25">
      <c r="A340" s="69" t="s">
        <v>215</v>
      </c>
      <c r="B340" s="71">
        <v>42643</v>
      </c>
      <c r="C340">
        <v>0</v>
      </c>
      <c r="D340" t="s">
        <v>1839</v>
      </c>
      <c r="E340" t="s">
        <v>1848</v>
      </c>
      <c r="F340">
        <v>9</v>
      </c>
      <c r="G340" t="s">
        <v>1862</v>
      </c>
    </row>
    <row r="341" spans="1:7" x14ac:dyDescent="0.25">
      <c r="A341" s="69" t="s">
        <v>215</v>
      </c>
      <c r="B341" s="71">
        <v>42735</v>
      </c>
      <c r="C341">
        <v>0</v>
      </c>
      <c r="D341" t="s">
        <v>1839</v>
      </c>
      <c r="E341" t="s">
        <v>1849</v>
      </c>
      <c r="F341">
        <v>12</v>
      </c>
      <c r="G341" t="s">
        <v>1863</v>
      </c>
    </row>
    <row r="342" spans="1:7" x14ac:dyDescent="0.25">
      <c r="A342" s="69" t="s">
        <v>215</v>
      </c>
      <c r="B342" s="71">
        <v>42825</v>
      </c>
      <c r="C342">
        <v>0</v>
      </c>
      <c r="D342" t="s">
        <v>1840</v>
      </c>
      <c r="E342" t="s">
        <v>1846</v>
      </c>
      <c r="F342">
        <v>3</v>
      </c>
      <c r="G342" t="s">
        <v>1860</v>
      </c>
    </row>
    <row r="343" spans="1:7" x14ac:dyDescent="0.25">
      <c r="A343" s="69" t="s">
        <v>215</v>
      </c>
      <c r="B343" s="71">
        <v>42916</v>
      </c>
      <c r="C343">
        <v>0</v>
      </c>
      <c r="D343" t="s">
        <v>1840</v>
      </c>
      <c r="E343" t="s">
        <v>1847</v>
      </c>
      <c r="F343">
        <v>6</v>
      </c>
      <c r="G343" t="s">
        <v>1861</v>
      </c>
    </row>
    <row r="344" spans="1:7" x14ac:dyDescent="0.25">
      <c r="A344" s="69" t="s">
        <v>215</v>
      </c>
      <c r="B344" s="71">
        <v>43008</v>
      </c>
      <c r="C344">
        <v>0</v>
      </c>
      <c r="D344" t="s">
        <v>1840</v>
      </c>
      <c r="E344" t="s">
        <v>1848</v>
      </c>
      <c r="F344">
        <v>9</v>
      </c>
      <c r="G344" t="s">
        <v>1862</v>
      </c>
    </row>
    <row r="345" spans="1:7" x14ac:dyDescent="0.25">
      <c r="A345" s="69" t="s">
        <v>215</v>
      </c>
      <c r="B345" s="71">
        <v>43100</v>
      </c>
      <c r="C345">
        <v>0</v>
      </c>
      <c r="D345" t="s">
        <v>1840</v>
      </c>
      <c r="E345" t="s">
        <v>1849</v>
      </c>
      <c r="F345">
        <v>12</v>
      </c>
      <c r="G345" t="s">
        <v>1863</v>
      </c>
    </row>
    <row r="346" spans="1:7" x14ac:dyDescent="0.25">
      <c r="A346" s="69" t="s">
        <v>215</v>
      </c>
      <c r="B346" s="71">
        <v>43373</v>
      </c>
      <c r="C346">
        <v>0</v>
      </c>
      <c r="D346" t="s">
        <v>1841</v>
      </c>
      <c r="E346" t="s">
        <v>1848</v>
      </c>
      <c r="F346">
        <v>9</v>
      </c>
      <c r="G346" t="s">
        <v>1862</v>
      </c>
    </row>
    <row r="347" spans="1:7" x14ac:dyDescent="0.25">
      <c r="A347" s="69" t="s">
        <v>215</v>
      </c>
      <c r="B347" s="71">
        <v>43465</v>
      </c>
      <c r="C347">
        <v>0</v>
      </c>
      <c r="D347" t="s">
        <v>1841</v>
      </c>
      <c r="E347" t="s">
        <v>1849</v>
      </c>
      <c r="F347">
        <v>12</v>
      </c>
      <c r="G347" t="s">
        <v>1863</v>
      </c>
    </row>
    <row r="348" spans="1:7" x14ac:dyDescent="0.25">
      <c r="A348" s="69" t="s">
        <v>215</v>
      </c>
      <c r="B348" s="71">
        <v>43555</v>
      </c>
      <c r="C348">
        <v>0</v>
      </c>
      <c r="D348" t="s">
        <v>1842</v>
      </c>
      <c r="E348" t="s">
        <v>1846</v>
      </c>
      <c r="F348">
        <v>3</v>
      </c>
      <c r="G348" t="s">
        <v>1860</v>
      </c>
    </row>
    <row r="349" spans="1:7" x14ac:dyDescent="0.25">
      <c r="A349" s="69" t="s">
        <v>215</v>
      </c>
      <c r="B349" s="71">
        <v>43646</v>
      </c>
      <c r="C349">
        <v>0</v>
      </c>
      <c r="D349" t="s">
        <v>1842</v>
      </c>
      <c r="E349" t="s">
        <v>1847</v>
      </c>
      <c r="F349">
        <v>6</v>
      </c>
      <c r="G349" t="s">
        <v>1861</v>
      </c>
    </row>
    <row r="350" spans="1:7" x14ac:dyDescent="0.25">
      <c r="A350" s="69" t="s">
        <v>215</v>
      </c>
      <c r="B350" s="71">
        <v>43738</v>
      </c>
      <c r="C350">
        <v>0</v>
      </c>
      <c r="D350" t="s">
        <v>1842</v>
      </c>
      <c r="E350" t="s">
        <v>1848</v>
      </c>
      <c r="F350">
        <v>9</v>
      </c>
      <c r="G350" t="s">
        <v>1862</v>
      </c>
    </row>
    <row r="351" spans="1:7" x14ac:dyDescent="0.25">
      <c r="A351" s="69" t="s">
        <v>215</v>
      </c>
      <c r="B351" s="71">
        <v>43830</v>
      </c>
      <c r="C351">
        <v>0</v>
      </c>
      <c r="D351" t="s">
        <v>1842</v>
      </c>
      <c r="E351" t="s">
        <v>1849</v>
      </c>
      <c r="F351">
        <v>12</v>
      </c>
      <c r="G351" t="s">
        <v>1863</v>
      </c>
    </row>
    <row r="352" spans="1:7" x14ac:dyDescent="0.25">
      <c r="A352" s="69" t="s">
        <v>215</v>
      </c>
      <c r="B352" s="71">
        <v>43921</v>
      </c>
      <c r="C352">
        <v>0</v>
      </c>
      <c r="D352" t="s">
        <v>1843</v>
      </c>
      <c r="E352" t="s">
        <v>1846</v>
      </c>
      <c r="F352">
        <v>3</v>
      </c>
      <c r="G352" t="s">
        <v>1860</v>
      </c>
    </row>
    <row r="353" spans="1:7" x14ac:dyDescent="0.25">
      <c r="A353" s="69" t="s">
        <v>215</v>
      </c>
      <c r="B353" s="71">
        <v>44012</v>
      </c>
      <c r="C353">
        <v>0</v>
      </c>
      <c r="D353" t="s">
        <v>1843</v>
      </c>
      <c r="E353" t="s">
        <v>1847</v>
      </c>
      <c r="F353">
        <v>6</v>
      </c>
      <c r="G353" t="s">
        <v>1861</v>
      </c>
    </row>
    <row r="354" spans="1:7" x14ac:dyDescent="0.25">
      <c r="A354" s="69" t="s">
        <v>215</v>
      </c>
      <c r="B354" s="71">
        <v>44104</v>
      </c>
      <c r="C354">
        <v>0</v>
      </c>
      <c r="D354" t="s">
        <v>1843</v>
      </c>
      <c r="E354" t="s">
        <v>1848</v>
      </c>
      <c r="F354">
        <v>9</v>
      </c>
      <c r="G354" t="s">
        <v>1862</v>
      </c>
    </row>
    <row r="355" spans="1:7" x14ac:dyDescent="0.25">
      <c r="A355" s="69" t="s">
        <v>215</v>
      </c>
      <c r="B355" s="71">
        <v>44196</v>
      </c>
      <c r="C355">
        <v>0</v>
      </c>
      <c r="D355" t="s">
        <v>1843</v>
      </c>
      <c r="E355" t="s">
        <v>1849</v>
      </c>
      <c r="F355">
        <v>12</v>
      </c>
      <c r="G355" t="s">
        <v>1863</v>
      </c>
    </row>
    <row r="356" spans="1:7" x14ac:dyDescent="0.25">
      <c r="A356" s="69" t="s">
        <v>215</v>
      </c>
      <c r="B356" s="71">
        <v>44286</v>
      </c>
      <c r="C356">
        <v>0</v>
      </c>
      <c r="D356" t="s">
        <v>1844</v>
      </c>
      <c r="E356" t="s">
        <v>1846</v>
      </c>
      <c r="F356">
        <v>3</v>
      </c>
      <c r="G356" t="s">
        <v>1860</v>
      </c>
    </row>
    <row r="357" spans="1:7" x14ac:dyDescent="0.25">
      <c r="A357" s="69" t="s">
        <v>215</v>
      </c>
      <c r="B357" s="71">
        <v>44377</v>
      </c>
      <c r="C357">
        <v>0</v>
      </c>
      <c r="D357" t="s">
        <v>1844</v>
      </c>
      <c r="E357" t="s">
        <v>1847</v>
      </c>
      <c r="F357">
        <v>6</v>
      </c>
      <c r="G357" t="s">
        <v>1861</v>
      </c>
    </row>
    <row r="358" spans="1:7" x14ac:dyDescent="0.25">
      <c r="A358" s="69" t="s">
        <v>215</v>
      </c>
      <c r="B358" s="71">
        <v>44469</v>
      </c>
      <c r="C358">
        <v>0</v>
      </c>
      <c r="D358" t="s">
        <v>1844</v>
      </c>
      <c r="E358" t="s">
        <v>1848</v>
      </c>
      <c r="F358">
        <v>9</v>
      </c>
      <c r="G358" t="s">
        <v>1862</v>
      </c>
    </row>
    <row r="359" spans="1:7" x14ac:dyDescent="0.25">
      <c r="A359" s="69" t="s">
        <v>215</v>
      </c>
      <c r="B359" s="71">
        <v>44561</v>
      </c>
      <c r="C359">
        <v>0</v>
      </c>
      <c r="D359" t="s">
        <v>1844</v>
      </c>
      <c r="E359" t="s">
        <v>1849</v>
      </c>
      <c r="F359">
        <v>12</v>
      </c>
      <c r="G359" t="s">
        <v>1863</v>
      </c>
    </row>
    <row r="360" spans="1:7" x14ac:dyDescent="0.25">
      <c r="A360" s="69" t="s">
        <v>215</v>
      </c>
      <c r="B360" s="71">
        <v>44651</v>
      </c>
      <c r="C360">
        <v>0</v>
      </c>
      <c r="D360" t="s">
        <v>1845</v>
      </c>
      <c r="E360" t="s">
        <v>1846</v>
      </c>
      <c r="F360">
        <v>3</v>
      </c>
      <c r="G360" t="s">
        <v>1860</v>
      </c>
    </row>
    <row r="361" spans="1:7" x14ac:dyDescent="0.25">
      <c r="A361" s="69" t="s">
        <v>215</v>
      </c>
      <c r="B361" s="71">
        <v>44742</v>
      </c>
      <c r="C361">
        <v>0</v>
      </c>
      <c r="D361" t="s">
        <v>1845</v>
      </c>
      <c r="E361" t="s">
        <v>1847</v>
      </c>
      <c r="F361">
        <v>6</v>
      </c>
      <c r="G361" t="s">
        <v>1861</v>
      </c>
    </row>
    <row r="362" spans="1:7" x14ac:dyDescent="0.25">
      <c r="A362" s="69" t="s">
        <v>215</v>
      </c>
      <c r="B362" s="71">
        <v>44834</v>
      </c>
      <c r="C362">
        <v>0</v>
      </c>
      <c r="D362" t="s">
        <v>1845</v>
      </c>
      <c r="E362" t="s">
        <v>1848</v>
      </c>
      <c r="F362">
        <v>9</v>
      </c>
      <c r="G362" t="s">
        <v>1862</v>
      </c>
    </row>
    <row r="363" spans="1:7" x14ac:dyDescent="0.25">
      <c r="A363" s="69" t="s">
        <v>215</v>
      </c>
      <c r="B363" s="71">
        <v>44926</v>
      </c>
      <c r="C363">
        <v>0</v>
      </c>
      <c r="D363" t="s">
        <v>1845</v>
      </c>
      <c r="E363" t="s">
        <v>1849</v>
      </c>
      <c r="F363">
        <v>12</v>
      </c>
      <c r="G363" t="s">
        <v>1863</v>
      </c>
    </row>
    <row r="364" spans="1:7" x14ac:dyDescent="0.25">
      <c r="A364" s="69" t="s">
        <v>217</v>
      </c>
      <c r="B364" s="71">
        <v>42460</v>
      </c>
      <c r="C364">
        <v>0</v>
      </c>
      <c r="D364" t="s">
        <v>1839</v>
      </c>
      <c r="E364" t="s">
        <v>1846</v>
      </c>
      <c r="F364">
        <v>3</v>
      </c>
      <c r="G364" t="s">
        <v>1860</v>
      </c>
    </row>
    <row r="365" spans="1:7" x14ac:dyDescent="0.25">
      <c r="A365" s="69" t="s">
        <v>217</v>
      </c>
      <c r="B365" s="71">
        <v>42551</v>
      </c>
      <c r="C365">
        <v>0</v>
      </c>
      <c r="D365" t="s">
        <v>1839</v>
      </c>
      <c r="E365" t="s">
        <v>1847</v>
      </c>
      <c r="F365">
        <v>6</v>
      </c>
      <c r="G365" t="s">
        <v>1861</v>
      </c>
    </row>
    <row r="366" spans="1:7" x14ac:dyDescent="0.25">
      <c r="A366" s="69" t="s">
        <v>217</v>
      </c>
      <c r="B366" s="71">
        <v>42643</v>
      </c>
      <c r="C366">
        <v>0</v>
      </c>
      <c r="D366" t="s">
        <v>1839</v>
      </c>
      <c r="E366" t="s">
        <v>1848</v>
      </c>
      <c r="F366">
        <v>9</v>
      </c>
      <c r="G366" t="s">
        <v>1862</v>
      </c>
    </row>
    <row r="367" spans="1:7" x14ac:dyDescent="0.25">
      <c r="A367" s="69" t="s">
        <v>217</v>
      </c>
      <c r="B367" s="71">
        <v>42735</v>
      </c>
      <c r="C367">
        <v>0</v>
      </c>
      <c r="D367" t="s">
        <v>1839</v>
      </c>
      <c r="E367" t="s">
        <v>1849</v>
      </c>
      <c r="F367">
        <v>12</v>
      </c>
      <c r="G367" t="s">
        <v>1863</v>
      </c>
    </row>
    <row r="368" spans="1:7" x14ac:dyDescent="0.25">
      <c r="A368" s="69" t="s">
        <v>217</v>
      </c>
      <c r="B368" s="71">
        <v>42825</v>
      </c>
      <c r="C368">
        <v>0</v>
      </c>
      <c r="D368" t="s">
        <v>1840</v>
      </c>
      <c r="E368" t="s">
        <v>1846</v>
      </c>
      <c r="F368">
        <v>3</v>
      </c>
      <c r="G368" t="s">
        <v>1860</v>
      </c>
    </row>
    <row r="369" spans="1:7" x14ac:dyDescent="0.25">
      <c r="A369" s="69" t="s">
        <v>217</v>
      </c>
      <c r="B369" s="71">
        <v>42916</v>
      </c>
      <c r="C369">
        <v>0</v>
      </c>
      <c r="D369" t="s">
        <v>1840</v>
      </c>
      <c r="E369" t="s">
        <v>1847</v>
      </c>
      <c r="F369">
        <v>6</v>
      </c>
      <c r="G369" t="s">
        <v>1861</v>
      </c>
    </row>
    <row r="370" spans="1:7" x14ac:dyDescent="0.25">
      <c r="A370" s="69" t="s">
        <v>217</v>
      </c>
      <c r="B370" s="71">
        <v>43008</v>
      </c>
      <c r="C370">
        <v>0</v>
      </c>
      <c r="D370" t="s">
        <v>1840</v>
      </c>
      <c r="E370" t="s">
        <v>1848</v>
      </c>
      <c r="F370">
        <v>9</v>
      </c>
      <c r="G370" t="s">
        <v>1862</v>
      </c>
    </row>
    <row r="371" spans="1:7" x14ac:dyDescent="0.25">
      <c r="A371" s="69" t="s">
        <v>217</v>
      </c>
      <c r="B371" s="71">
        <v>43100</v>
      </c>
      <c r="C371">
        <v>0</v>
      </c>
      <c r="D371" t="s">
        <v>1840</v>
      </c>
      <c r="E371" t="s">
        <v>1849</v>
      </c>
      <c r="F371">
        <v>12</v>
      </c>
      <c r="G371" t="s">
        <v>1863</v>
      </c>
    </row>
    <row r="372" spans="1:7" x14ac:dyDescent="0.25">
      <c r="A372" s="69" t="s">
        <v>217</v>
      </c>
      <c r="B372" s="71">
        <v>43190</v>
      </c>
      <c r="C372">
        <v>0</v>
      </c>
      <c r="D372" t="s">
        <v>1841</v>
      </c>
      <c r="E372" t="s">
        <v>1846</v>
      </c>
      <c r="F372">
        <v>3</v>
      </c>
      <c r="G372" t="s">
        <v>1860</v>
      </c>
    </row>
    <row r="373" spans="1:7" x14ac:dyDescent="0.25">
      <c r="A373" s="69" t="s">
        <v>217</v>
      </c>
      <c r="B373" s="71">
        <v>43281</v>
      </c>
      <c r="C373">
        <v>0</v>
      </c>
      <c r="D373" t="s">
        <v>1841</v>
      </c>
      <c r="E373" t="s">
        <v>1847</v>
      </c>
      <c r="F373">
        <v>6</v>
      </c>
      <c r="G373" t="s">
        <v>1861</v>
      </c>
    </row>
    <row r="374" spans="1:7" x14ac:dyDescent="0.25">
      <c r="A374" s="69" t="s">
        <v>217</v>
      </c>
      <c r="B374" s="71">
        <v>43555</v>
      </c>
      <c r="C374">
        <v>0</v>
      </c>
      <c r="D374" t="s">
        <v>1842</v>
      </c>
      <c r="E374" t="s">
        <v>1846</v>
      </c>
      <c r="F374">
        <v>3</v>
      </c>
      <c r="G374" t="s">
        <v>1860</v>
      </c>
    </row>
    <row r="375" spans="1:7" x14ac:dyDescent="0.25">
      <c r="A375" s="69" t="s">
        <v>217</v>
      </c>
      <c r="B375" s="71">
        <v>43646</v>
      </c>
      <c r="C375">
        <v>0</v>
      </c>
      <c r="D375" t="s">
        <v>1842</v>
      </c>
      <c r="E375" t="s">
        <v>1847</v>
      </c>
      <c r="F375">
        <v>6</v>
      </c>
      <c r="G375" t="s">
        <v>1861</v>
      </c>
    </row>
    <row r="376" spans="1:7" x14ac:dyDescent="0.25">
      <c r="A376" s="69" t="s">
        <v>217</v>
      </c>
      <c r="B376" s="71">
        <v>44104</v>
      </c>
      <c r="C376">
        <v>0</v>
      </c>
      <c r="D376" t="s">
        <v>1843</v>
      </c>
      <c r="E376" t="s">
        <v>1848</v>
      </c>
      <c r="F376">
        <v>9</v>
      </c>
      <c r="G376" t="s">
        <v>1862</v>
      </c>
    </row>
    <row r="377" spans="1:7" x14ac:dyDescent="0.25">
      <c r="A377" s="69" t="s">
        <v>217</v>
      </c>
      <c r="B377" s="71">
        <v>44196</v>
      </c>
      <c r="C377">
        <v>0</v>
      </c>
      <c r="D377" t="s">
        <v>1843</v>
      </c>
      <c r="E377" t="s">
        <v>1849</v>
      </c>
      <c r="F377">
        <v>12</v>
      </c>
      <c r="G377" t="s">
        <v>1863</v>
      </c>
    </row>
    <row r="378" spans="1:7" x14ac:dyDescent="0.25">
      <c r="A378" s="69" t="s">
        <v>217</v>
      </c>
      <c r="B378" s="71">
        <v>44286</v>
      </c>
      <c r="C378">
        <v>0</v>
      </c>
      <c r="D378" t="s">
        <v>1844</v>
      </c>
      <c r="E378" t="s">
        <v>1846</v>
      </c>
      <c r="F378">
        <v>3</v>
      </c>
      <c r="G378" t="s">
        <v>1860</v>
      </c>
    </row>
    <row r="379" spans="1:7" x14ac:dyDescent="0.25">
      <c r="A379" s="69" t="s">
        <v>217</v>
      </c>
      <c r="B379" s="71">
        <v>44377</v>
      </c>
      <c r="C379">
        <v>0</v>
      </c>
      <c r="D379" t="s">
        <v>1844</v>
      </c>
      <c r="E379" t="s">
        <v>1847</v>
      </c>
      <c r="F379">
        <v>6</v>
      </c>
      <c r="G379" t="s">
        <v>1861</v>
      </c>
    </row>
    <row r="380" spans="1:7" x14ac:dyDescent="0.25">
      <c r="A380" s="69" t="s">
        <v>217</v>
      </c>
      <c r="B380" s="71">
        <v>44469</v>
      </c>
      <c r="C380">
        <v>0</v>
      </c>
      <c r="D380" t="s">
        <v>1844</v>
      </c>
      <c r="E380" t="s">
        <v>1848</v>
      </c>
      <c r="F380">
        <v>9</v>
      </c>
      <c r="G380" t="s">
        <v>1862</v>
      </c>
    </row>
    <row r="381" spans="1:7" x14ac:dyDescent="0.25">
      <c r="A381" s="69" t="s">
        <v>217</v>
      </c>
      <c r="B381" s="71">
        <v>44561</v>
      </c>
      <c r="C381">
        <v>0</v>
      </c>
      <c r="D381" t="s">
        <v>1844</v>
      </c>
      <c r="E381" t="s">
        <v>1849</v>
      </c>
      <c r="F381">
        <v>12</v>
      </c>
      <c r="G381" t="s">
        <v>1863</v>
      </c>
    </row>
    <row r="382" spans="1:7" x14ac:dyDescent="0.25">
      <c r="A382" s="69" t="s">
        <v>217</v>
      </c>
      <c r="B382" s="71">
        <v>44651</v>
      </c>
      <c r="C382">
        <v>0</v>
      </c>
      <c r="D382" t="s">
        <v>1845</v>
      </c>
      <c r="E382" t="s">
        <v>1846</v>
      </c>
      <c r="F382">
        <v>3</v>
      </c>
      <c r="G382" t="s">
        <v>1860</v>
      </c>
    </row>
    <row r="383" spans="1:7" x14ac:dyDescent="0.25">
      <c r="A383" s="69" t="s">
        <v>217</v>
      </c>
      <c r="B383" s="71">
        <v>44742</v>
      </c>
      <c r="C383">
        <v>0</v>
      </c>
      <c r="D383" t="s">
        <v>1845</v>
      </c>
      <c r="E383" t="s">
        <v>1847</v>
      </c>
      <c r="F383">
        <v>6</v>
      </c>
      <c r="G383" t="s">
        <v>1861</v>
      </c>
    </row>
    <row r="384" spans="1:7" x14ac:dyDescent="0.25">
      <c r="A384" s="69" t="s">
        <v>217</v>
      </c>
      <c r="B384" s="71">
        <v>44834</v>
      </c>
      <c r="C384">
        <v>0</v>
      </c>
      <c r="D384" t="s">
        <v>1845</v>
      </c>
      <c r="E384" t="s">
        <v>1848</v>
      </c>
      <c r="F384">
        <v>9</v>
      </c>
      <c r="G384" t="s">
        <v>1862</v>
      </c>
    </row>
    <row r="385" spans="1:7" x14ac:dyDescent="0.25">
      <c r="A385" s="69" t="s">
        <v>217</v>
      </c>
      <c r="B385" s="71">
        <v>44926</v>
      </c>
      <c r="C385">
        <v>0</v>
      </c>
      <c r="D385" t="s">
        <v>1845</v>
      </c>
      <c r="E385" t="s">
        <v>1849</v>
      </c>
      <c r="F385">
        <v>12</v>
      </c>
      <c r="G385" t="s">
        <v>1863</v>
      </c>
    </row>
    <row r="386" spans="1:7" x14ac:dyDescent="0.25">
      <c r="A386" s="69" t="s">
        <v>224</v>
      </c>
      <c r="B386" s="71">
        <v>42825</v>
      </c>
      <c r="C386">
        <v>0</v>
      </c>
      <c r="D386" t="s">
        <v>1840</v>
      </c>
      <c r="E386" t="s">
        <v>1846</v>
      </c>
      <c r="F386">
        <v>3</v>
      </c>
      <c r="G386" t="s">
        <v>1860</v>
      </c>
    </row>
    <row r="387" spans="1:7" x14ac:dyDescent="0.25">
      <c r="A387" s="69" t="s">
        <v>224</v>
      </c>
      <c r="B387" s="71">
        <v>42916</v>
      </c>
      <c r="C387">
        <v>0</v>
      </c>
      <c r="D387" t="s">
        <v>1840</v>
      </c>
      <c r="E387" t="s">
        <v>1847</v>
      </c>
      <c r="F387">
        <v>6</v>
      </c>
      <c r="G387" t="s">
        <v>1861</v>
      </c>
    </row>
    <row r="388" spans="1:7" x14ac:dyDescent="0.25">
      <c r="A388" s="69" t="s">
        <v>224</v>
      </c>
      <c r="B388" s="71">
        <v>43008</v>
      </c>
      <c r="C388">
        <v>0</v>
      </c>
      <c r="D388" t="s">
        <v>1840</v>
      </c>
      <c r="E388" t="s">
        <v>1848</v>
      </c>
      <c r="F388">
        <v>9</v>
      </c>
      <c r="G388" t="s">
        <v>1862</v>
      </c>
    </row>
    <row r="389" spans="1:7" x14ac:dyDescent="0.25">
      <c r="A389" s="69" t="s">
        <v>224</v>
      </c>
      <c r="B389" s="71">
        <v>43555</v>
      </c>
      <c r="C389">
        <v>0</v>
      </c>
      <c r="D389" t="s">
        <v>1842</v>
      </c>
      <c r="E389" t="s">
        <v>1846</v>
      </c>
      <c r="F389">
        <v>3</v>
      </c>
      <c r="G389" t="s">
        <v>1860</v>
      </c>
    </row>
    <row r="390" spans="1:7" x14ac:dyDescent="0.25">
      <c r="A390" s="69" t="s">
        <v>224</v>
      </c>
      <c r="B390" s="71">
        <v>44651</v>
      </c>
      <c r="C390">
        <v>0</v>
      </c>
      <c r="D390" t="s">
        <v>1845</v>
      </c>
      <c r="E390" t="s">
        <v>1846</v>
      </c>
      <c r="F390">
        <v>3</v>
      </c>
      <c r="G390" t="s">
        <v>1860</v>
      </c>
    </row>
    <row r="391" spans="1:7" x14ac:dyDescent="0.25">
      <c r="A391" s="69" t="s">
        <v>228</v>
      </c>
      <c r="B391" s="71">
        <v>42460</v>
      </c>
      <c r="C391">
        <v>0</v>
      </c>
      <c r="D391" t="s">
        <v>1839</v>
      </c>
      <c r="E391" t="s">
        <v>1846</v>
      </c>
      <c r="F391">
        <v>3</v>
      </c>
      <c r="G391" t="s">
        <v>1860</v>
      </c>
    </row>
    <row r="392" spans="1:7" x14ac:dyDescent="0.25">
      <c r="A392" s="69" t="s">
        <v>228</v>
      </c>
      <c r="B392" s="71">
        <v>42551</v>
      </c>
      <c r="C392">
        <v>0</v>
      </c>
      <c r="D392" t="s">
        <v>1839</v>
      </c>
      <c r="E392" t="s">
        <v>1847</v>
      </c>
      <c r="F392">
        <v>6</v>
      </c>
      <c r="G392" t="s">
        <v>1861</v>
      </c>
    </row>
    <row r="393" spans="1:7" x14ac:dyDescent="0.25">
      <c r="A393" s="69" t="s">
        <v>228</v>
      </c>
      <c r="B393" s="71">
        <v>42643</v>
      </c>
      <c r="C393">
        <v>0</v>
      </c>
      <c r="D393" t="s">
        <v>1839</v>
      </c>
      <c r="E393" t="s">
        <v>1848</v>
      </c>
      <c r="F393">
        <v>9</v>
      </c>
      <c r="G393" t="s">
        <v>1862</v>
      </c>
    </row>
    <row r="394" spans="1:7" x14ac:dyDescent="0.25">
      <c r="A394" s="69" t="s">
        <v>228</v>
      </c>
      <c r="B394" s="71">
        <v>42735</v>
      </c>
      <c r="C394">
        <v>0</v>
      </c>
      <c r="D394" t="s">
        <v>1839</v>
      </c>
      <c r="E394" t="s">
        <v>1849</v>
      </c>
      <c r="F394">
        <v>12</v>
      </c>
      <c r="G394" t="s">
        <v>1863</v>
      </c>
    </row>
    <row r="395" spans="1:7" x14ac:dyDescent="0.25">
      <c r="A395" s="69" t="s">
        <v>228</v>
      </c>
      <c r="B395" s="71">
        <v>42825</v>
      </c>
      <c r="C395">
        <v>0</v>
      </c>
      <c r="D395" t="s">
        <v>1840</v>
      </c>
      <c r="E395" t="s">
        <v>1846</v>
      </c>
      <c r="F395">
        <v>3</v>
      </c>
      <c r="G395" t="s">
        <v>1860</v>
      </c>
    </row>
    <row r="396" spans="1:7" x14ac:dyDescent="0.25">
      <c r="A396" s="69" t="s">
        <v>228</v>
      </c>
      <c r="B396" s="71">
        <v>43100</v>
      </c>
      <c r="C396">
        <v>0</v>
      </c>
      <c r="D396" t="s">
        <v>1840</v>
      </c>
      <c r="E396" t="s">
        <v>1849</v>
      </c>
      <c r="F396">
        <v>12</v>
      </c>
      <c r="G396" t="s">
        <v>1863</v>
      </c>
    </row>
    <row r="397" spans="1:7" x14ac:dyDescent="0.25">
      <c r="A397" s="69" t="s">
        <v>228</v>
      </c>
      <c r="B397" s="71">
        <v>43190</v>
      </c>
      <c r="C397">
        <v>0</v>
      </c>
      <c r="D397" t="s">
        <v>1841</v>
      </c>
      <c r="E397" t="s">
        <v>1846</v>
      </c>
      <c r="F397">
        <v>3</v>
      </c>
      <c r="G397" t="s">
        <v>1860</v>
      </c>
    </row>
    <row r="398" spans="1:7" x14ac:dyDescent="0.25">
      <c r="A398" s="69" t="s">
        <v>228</v>
      </c>
      <c r="B398" s="71">
        <v>43465</v>
      </c>
      <c r="C398">
        <v>0</v>
      </c>
      <c r="D398" t="s">
        <v>1841</v>
      </c>
      <c r="E398" t="s">
        <v>1849</v>
      </c>
      <c r="F398">
        <v>12</v>
      </c>
      <c r="G398" t="s">
        <v>1863</v>
      </c>
    </row>
    <row r="399" spans="1:7" x14ac:dyDescent="0.25">
      <c r="A399" s="69" t="s">
        <v>228</v>
      </c>
      <c r="B399" s="71">
        <v>43555</v>
      </c>
      <c r="C399">
        <v>0</v>
      </c>
      <c r="D399" t="s">
        <v>1842</v>
      </c>
      <c r="E399" t="s">
        <v>1846</v>
      </c>
      <c r="F399">
        <v>3</v>
      </c>
      <c r="G399" t="s">
        <v>1860</v>
      </c>
    </row>
    <row r="400" spans="1:7" x14ac:dyDescent="0.25">
      <c r="A400" s="69" t="s">
        <v>228</v>
      </c>
      <c r="B400" s="71">
        <v>43646</v>
      </c>
      <c r="C400">
        <v>0</v>
      </c>
      <c r="D400" t="s">
        <v>1842</v>
      </c>
      <c r="E400" t="s">
        <v>1847</v>
      </c>
      <c r="F400">
        <v>6</v>
      </c>
      <c r="G400" t="s">
        <v>1861</v>
      </c>
    </row>
    <row r="401" spans="1:7" x14ac:dyDescent="0.25">
      <c r="A401" s="69" t="s">
        <v>228</v>
      </c>
      <c r="B401" s="71">
        <v>43738</v>
      </c>
      <c r="C401">
        <v>0</v>
      </c>
      <c r="D401" t="s">
        <v>1842</v>
      </c>
      <c r="E401" t="s">
        <v>1848</v>
      </c>
      <c r="F401">
        <v>9</v>
      </c>
      <c r="G401" t="s">
        <v>1862</v>
      </c>
    </row>
    <row r="402" spans="1:7" x14ac:dyDescent="0.25">
      <c r="A402" s="69" t="s">
        <v>228</v>
      </c>
      <c r="B402" s="71">
        <v>43830</v>
      </c>
      <c r="C402">
        <v>0</v>
      </c>
      <c r="D402" t="s">
        <v>1842</v>
      </c>
      <c r="E402" t="s">
        <v>1849</v>
      </c>
      <c r="F402">
        <v>12</v>
      </c>
      <c r="G402" t="s">
        <v>1863</v>
      </c>
    </row>
    <row r="403" spans="1:7" x14ac:dyDescent="0.25">
      <c r="A403" s="69" t="s">
        <v>228</v>
      </c>
      <c r="B403" s="71">
        <v>43921</v>
      </c>
      <c r="C403">
        <v>0</v>
      </c>
      <c r="D403" t="s">
        <v>1843</v>
      </c>
      <c r="E403" t="s">
        <v>1846</v>
      </c>
      <c r="F403">
        <v>3</v>
      </c>
      <c r="G403" t="s">
        <v>1860</v>
      </c>
    </row>
    <row r="404" spans="1:7" x14ac:dyDescent="0.25">
      <c r="A404" s="69" t="s">
        <v>228</v>
      </c>
      <c r="B404" s="71">
        <v>44012</v>
      </c>
      <c r="C404">
        <v>0</v>
      </c>
      <c r="D404" t="s">
        <v>1843</v>
      </c>
      <c r="E404" t="s">
        <v>1847</v>
      </c>
      <c r="F404">
        <v>6</v>
      </c>
      <c r="G404" t="s">
        <v>1861</v>
      </c>
    </row>
    <row r="405" spans="1:7" x14ac:dyDescent="0.25">
      <c r="A405" s="69" t="s">
        <v>228</v>
      </c>
      <c r="B405" s="71">
        <v>44104</v>
      </c>
      <c r="C405">
        <v>0</v>
      </c>
      <c r="D405" t="s">
        <v>1843</v>
      </c>
      <c r="E405" t="s">
        <v>1848</v>
      </c>
      <c r="F405">
        <v>9</v>
      </c>
      <c r="G405" t="s">
        <v>1862</v>
      </c>
    </row>
    <row r="406" spans="1:7" x14ac:dyDescent="0.25">
      <c r="A406" s="69" t="s">
        <v>228</v>
      </c>
      <c r="B406" s="71">
        <v>44196</v>
      </c>
      <c r="C406">
        <v>0</v>
      </c>
      <c r="D406" t="s">
        <v>1843</v>
      </c>
      <c r="E406" t="s">
        <v>1849</v>
      </c>
      <c r="F406">
        <v>12</v>
      </c>
      <c r="G406" t="s">
        <v>1863</v>
      </c>
    </row>
    <row r="407" spans="1:7" x14ac:dyDescent="0.25">
      <c r="A407" s="69" t="s">
        <v>228</v>
      </c>
      <c r="B407" s="71">
        <v>44286</v>
      </c>
      <c r="C407">
        <v>0</v>
      </c>
      <c r="D407" t="s">
        <v>1844</v>
      </c>
      <c r="E407" t="s">
        <v>1846</v>
      </c>
      <c r="F407">
        <v>3</v>
      </c>
      <c r="G407" t="s">
        <v>1860</v>
      </c>
    </row>
    <row r="408" spans="1:7" x14ac:dyDescent="0.25">
      <c r="A408" s="69" t="s">
        <v>228</v>
      </c>
      <c r="B408" s="71">
        <v>44377</v>
      </c>
      <c r="C408">
        <v>0</v>
      </c>
      <c r="D408" t="s">
        <v>1844</v>
      </c>
      <c r="E408" t="s">
        <v>1847</v>
      </c>
      <c r="F408">
        <v>6</v>
      </c>
      <c r="G408" t="s">
        <v>1861</v>
      </c>
    </row>
    <row r="409" spans="1:7" x14ac:dyDescent="0.25">
      <c r="A409" s="69" t="s">
        <v>228</v>
      </c>
      <c r="B409" s="71">
        <v>44469</v>
      </c>
      <c r="C409">
        <v>0</v>
      </c>
      <c r="D409" t="s">
        <v>1844</v>
      </c>
      <c r="E409" t="s">
        <v>1848</v>
      </c>
      <c r="F409">
        <v>9</v>
      </c>
      <c r="G409" t="s">
        <v>1862</v>
      </c>
    </row>
    <row r="410" spans="1:7" x14ac:dyDescent="0.25">
      <c r="A410" s="69" t="s">
        <v>228</v>
      </c>
      <c r="B410" s="71">
        <v>44561</v>
      </c>
      <c r="C410">
        <v>0</v>
      </c>
      <c r="D410" t="s">
        <v>1844</v>
      </c>
      <c r="E410" t="s">
        <v>1849</v>
      </c>
      <c r="F410">
        <v>12</v>
      </c>
      <c r="G410" t="s">
        <v>1863</v>
      </c>
    </row>
    <row r="411" spans="1:7" x14ac:dyDescent="0.25">
      <c r="A411" s="69" t="s">
        <v>228</v>
      </c>
      <c r="B411" s="71">
        <v>44651</v>
      </c>
      <c r="C411">
        <v>0</v>
      </c>
      <c r="D411" t="s">
        <v>1845</v>
      </c>
      <c r="E411" t="s">
        <v>1846</v>
      </c>
      <c r="F411">
        <v>3</v>
      </c>
      <c r="G411" t="s">
        <v>1860</v>
      </c>
    </row>
    <row r="412" spans="1:7" x14ac:dyDescent="0.25">
      <c r="A412" s="69" t="s">
        <v>228</v>
      </c>
      <c r="B412" s="71">
        <v>44742</v>
      </c>
      <c r="C412">
        <v>0</v>
      </c>
      <c r="D412" t="s">
        <v>1845</v>
      </c>
      <c r="E412" t="s">
        <v>1847</v>
      </c>
      <c r="F412">
        <v>6</v>
      </c>
      <c r="G412" t="s">
        <v>1861</v>
      </c>
    </row>
    <row r="413" spans="1:7" x14ac:dyDescent="0.25">
      <c r="A413" s="69" t="s">
        <v>228</v>
      </c>
      <c r="B413" s="71">
        <v>44834</v>
      </c>
      <c r="C413">
        <v>0</v>
      </c>
      <c r="D413" t="s">
        <v>1845</v>
      </c>
      <c r="E413" t="s">
        <v>1848</v>
      </c>
      <c r="F413">
        <v>9</v>
      </c>
      <c r="G413" t="s">
        <v>1862</v>
      </c>
    </row>
    <row r="414" spans="1:7" x14ac:dyDescent="0.25">
      <c r="A414" s="69" t="s">
        <v>228</v>
      </c>
      <c r="B414" s="71">
        <v>44926</v>
      </c>
      <c r="C414">
        <v>0</v>
      </c>
      <c r="D414" t="s">
        <v>1845</v>
      </c>
      <c r="E414" t="s">
        <v>1849</v>
      </c>
      <c r="F414">
        <v>12</v>
      </c>
      <c r="G414" t="s">
        <v>1863</v>
      </c>
    </row>
    <row r="415" spans="1:7" x14ac:dyDescent="0.25">
      <c r="A415" s="69" t="s">
        <v>234</v>
      </c>
      <c r="B415" s="71">
        <v>42460</v>
      </c>
      <c r="C415">
        <v>0</v>
      </c>
      <c r="D415" t="s">
        <v>1839</v>
      </c>
      <c r="E415" t="s">
        <v>1846</v>
      </c>
      <c r="F415">
        <v>3</v>
      </c>
      <c r="G415" t="s">
        <v>1860</v>
      </c>
    </row>
    <row r="416" spans="1:7" x14ac:dyDescent="0.25">
      <c r="A416" s="69" t="s">
        <v>234</v>
      </c>
      <c r="B416" s="71">
        <v>42551</v>
      </c>
      <c r="C416">
        <v>0</v>
      </c>
      <c r="D416" t="s">
        <v>1839</v>
      </c>
      <c r="E416" t="s">
        <v>1847</v>
      </c>
      <c r="F416">
        <v>6</v>
      </c>
      <c r="G416" t="s">
        <v>1861</v>
      </c>
    </row>
    <row r="417" spans="1:7" x14ac:dyDescent="0.25">
      <c r="A417" s="69" t="s">
        <v>234</v>
      </c>
      <c r="B417" s="71">
        <v>43008</v>
      </c>
      <c r="C417">
        <v>0</v>
      </c>
      <c r="D417" t="s">
        <v>1840</v>
      </c>
      <c r="E417" t="s">
        <v>1848</v>
      </c>
      <c r="F417">
        <v>9</v>
      </c>
      <c r="G417" t="s">
        <v>1862</v>
      </c>
    </row>
    <row r="418" spans="1:7" x14ac:dyDescent="0.25">
      <c r="A418" s="69" t="s">
        <v>234</v>
      </c>
      <c r="B418" s="71">
        <v>43373</v>
      </c>
      <c r="C418">
        <v>0</v>
      </c>
      <c r="D418" t="s">
        <v>1841</v>
      </c>
      <c r="E418" t="s">
        <v>1848</v>
      </c>
      <c r="F418">
        <v>9</v>
      </c>
      <c r="G418" t="s">
        <v>1862</v>
      </c>
    </row>
    <row r="419" spans="1:7" x14ac:dyDescent="0.25">
      <c r="A419" s="69" t="s">
        <v>234</v>
      </c>
      <c r="B419" s="71">
        <v>43921</v>
      </c>
      <c r="C419">
        <v>0</v>
      </c>
      <c r="D419" t="s">
        <v>1843</v>
      </c>
      <c r="E419" t="s">
        <v>1846</v>
      </c>
      <c r="F419">
        <v>3</v>
      </c>
      <c r="G419" t="s">
        <v>1860</v>
      </c>
    </row>
    <row r="420" spans="1:7" x14ac:dyDescent="0.25">
      <c r="A420" s="69" t="s">
        <v>234</v>
      </c>
      <c r="B420" s="71">
        <v>44104</v>
      </c>
      <c r="C420">
        <v>0</v>
      </c>
      <c r="D420" t="s">
        <v>1843</v>
      </c>
      <c r="E420" t="s">
        <v>1848</v>
      </c>
      <c r="F420">
        <v>9</v>
      </c>
      <c r="G420" t="s">
        <v>1862</v>
      </c>
    </row>
    <row r="421" spans="1:7" x14ac:dyDescent="0.25">
      <c r="A421" s="69" t="s">
        <v>234</v>
      </c>
      <c r="B421" s="71">
        <v>44196</v>
      </c>
      <c r="C421">
        <v>0</v>
      </c>
      <c r="D421" t="s">
        <v>1843</v>
      </c>
      <c r="E421" t="s">
        <v>1849</v>
      </c>
      <c r="F421">
        <v>12</v>
      </c>
      <c r="G421" t="s">
        <v>1863</v>
      </c>
    </row>
    <row r="422" spans="1:7" x14ac:dyDescent="0.25">
      <c r="A422" s="69" t="s">
        <v>234</v>
      </c>
      <c r="B422" s="71">
        <v>44286</v>
      </c>
      <c r="C422">
        <v>0</v>
      </c>
      <c r="D422" t="s">
        <v>1844</v>
      </c>
      <c r="E422" t="s">
        <v>1846</v>
      </c>
      <c r="F422">
        <v>3</v>
      </c>
      <c r="G422" t="s">
        <v>1860</v>
      </c>
    </row>
    <row r="423" spans="1:7" x14ac:dyDescent="0.25">
      <c r="A423" s="69" t="s">
        <v>234</v>
      </c>
      <c r="B423" s="71">
        <v>44377</v>
      </c>
      <c r="C423">
        <v>0</v>
      </c>
      <c r="D423" t="s">
        <v>1844</v>
      </c>
      <c r="E423" t="s">
        <v>1847</v>
      </c>
      <c r="F423">
        <v>6</v>
      </c>
      <c r="G423" t="s">
        <v>1861</v>
      </c>
    </row>
    <row r="424" spans="1:7" x14ac:dyDescent="0.25">
      <c r="A424" s="69" t="s">
        <v>234</v>
      </c>
      <c r="B424" s="71">
        <v>44561</v>
      </c>
      <c r="C424">
        <v>0</v>
      </c>
      <c r="D424" t="s">
        <v>1844</v>
      </c>
      <c r="E424" t="s">
        <v>1849</v>
      </c>
      <c r="F424">
        <v>12</v>
      </c>
      <c r="G424" t="s">
        <v>1863</v>
      </c>
    </row>
    <row r="425" spans="1:7" x14ac:dyDescent="0.25">
      <c r="A425" s="69" t="s">
        <v>234</v>
      </c>
      <c r="B425" s="71">
        <v>44651</v>
      </c>
      <c r="C425">
        <v>0</v>
      </c>
      <c r="D425" t="s">
        <v>1845</v>
      </c>
      <c r="E425" t="s">
        <v>1846</v>
      </c>
      <c r="F425">
        <v>3</v>
      </c>
      <c r="G425" t="s">
        <v>1860</v>
      </c>
    </row>
    <row r="426" spans="1:7" x14ac:dyDescent="0.25">
      <c r="A426" s="69" t="s">
        <v>234</v>
      </c>
      <c r="B426" s="71">
        <v>44742</v>
      </c>
      <c r="C426">
        <v>0</v>
      </c>
      <c r="D426" t="s">
        <v>1845</v>
      </c>
      <c r="E426" t="s">
        <v>1847</v>
      </c>
      <c r="F426">
        <v>6</v>
      </c>
      <c r="G426" t="s">
        <v>1861</v>
      </c>
    </row>
    <row r="427" spans="1:7" x14ac:dyDescent="0.25">
      <c r="A427" s="69" t="s">
        <v>234</v>
      </c>
      <c r="B427" s="71">
        <v>44926</v>
      </c>
      <c r="C427">
        <v>0</v>
      </c>
      <c r="D427" t="s">
        <v>1845</v>
      </c>
      <c r="E427" t="s">
        <v>1849</v>
      </c>
      <c r="F427">
        <v>12</v>
      </c>
      <c r="G427" t="s">
        <v>1863</v>
      </c>
    </row>
    <row r="428" spans="1:7" x14ac:dyDescent="0.25">
      <c r="A428" s="69" t="s">
        <v>237</v>
      </c>
      <c r="B428" s="71">
        <v>42460</v>
      </c>
      <c r="C428">
        <v>0</v>
      </c>
      <c r="D428" t="s">
        <v>1839</v>
      </c>
      <c r="E428" t="s">
        <v>1846</v>
      </c>
      <c r="F428">
        <v>3</v>
      </c>
      <c r="G428" t="s">
        <v>1860</v>
      </c>
    </row>
    <row r="429" spans="1:7" x14ac:dyDescent="0.25">
      <c r="A429" s="69" t="s">
        <v>237</v>
      </c>
      <c r="B429" s="71">
        <v>42551</v>
      </c>
      <c r="C429">
        <v>0</v>
      </c>
      <c r="D429" t="s">
        <v>1839</v>
      </c>
      <c r="E429" t="s">
        <v>1847</v>
      </c>
      <c r="F429">
        <v>6</v>
      </c>
      <c r="G429" t="s">
        <v>1861</v>
      </c>
    </row>
    <row r="430" spans="1:7" x14ac:dyDescent="0.25">
      <c r="A430" s="69" t="s">
        <v>237</v>
      </c>
      <c r="B430" s="71">
        <v>42643</v>
      </c>
      <c r="C430">
        <v>0</v>
      </c>
      <c r="D430" t="s">
        <v>1839</v>
      </c>
      <c r="E430" t="s">
        <v>1848</v>
      </c>
      <c r="F430">
        <v>9</v>
      </c>
      <c r="G430" t="s">
        <v>1862</v>
      </c>
    </row>
    <row r="431" spans="1:7" x14ac:dyDescent="0.25">
      <c r="A431" s="69" t="s">
        <v>237</v>
      </c>
      <c r="B431" s="71">
        <v>42735</v>
      </c>
      <c r="C431">
        <v>0</v>
      </c>
      <c r="D431" t="s">
        <v>1839</v>
      </c>
      <c r="E431" t="s">
        <v>1849</v>
      </c>
      <c r="F431">
        <v>12</v>
      </c>
      <c r="G431" t="s">
        <v>1863</v>
      </c>
    </row>
    <row r="432" spans="1:7" x14ac:dyDescent="0.25">
      <c r="A432" s="69" t="s">
        <v>237</v>
      </c>
      <c r="B432" s="71">
        <v>42825</v>
      </c>
      <c r="C432">
        <v>0</v>
      </c>
      <c r="D432" t="s">
        <v>1840</v>
      </c>
      <c r="E432" t="s">
        <v>1846</v>
      </c>
      <c r="F432">
        <v>3</v>
      </c>
      <c r="G432" t="s">
        <v>1860</v>
      </c>
    </row>
    <row r="433" spans="1:7" x14ac:dyDescent="0.25">
      <c r="A433" s="69" t="s">
        <v>237</v>
      </c>
      <c r="B433" s="71">
        <v>42916</v>
      </c>
      <c r="C433">
        <v>0</v>
      </c>
      <c r="D433" t="s">
        <v>1840</v>
      </c>
      <c r="E433" t="s">
        <v>1847</v>
      </c>
      <c r="F433">
        <v>6</v>
      </c>
      <c r="G433" t="s">
        <v>1861</v>
      </c>
    </row>
    <row r="434" spans="1:7" x14ac:dyDescent="0.25">
      <c r="A434" s="69" t="s">
        <v>237</v>
      </c>
      <c r="B434" s="71">
        <v>43008</v>
      </c>
      <c r="C434">
        <v>0</v>
      </c>
      <c r="D434" t="s">
        <v>1840</v>
      </c>
      <c r="E434" t="s">
        <v>1848</v>
      </c>
      <c r="F434">
        <v>9</v>
      </c>
      <c r="G434" t="s">
        <v>1862</v>
      </c>
    </row>
    <row r="435" spans="1:7" x14ac:dyDescent="0.25">
      <c r="A435" s="69" t="s">
        <v>237</v>
      </c>
      <c r="B435" s="71">
        <v>43100</v>
      </c>
      <c r="C435">
        <v>0</v>
      </c>
      <c r="D435" t="s">
        <v>1840</v>
      </c>
      <c r="E435" t="s">
        <v>1849</v>
      </c>
      <c r="F435">
        <v>12</v>
      </c>
      <c r="G435" t="s">
        <v>1863</v>
      </c>
    </row>
    <row r="436" spans="1:7" x14ac:dyDescent="0.25">
      <c r="A436" s="69" t="s">
        <v>237</v>
      </c>
      <c r="B436" s="71">
        <v>43190</v>
      </c>
      <c r="C436">
        <v>0</v>
      </c>
      <c r="D436" t="s">
        <v>1841</v>
      </c>
      <c r="E436" t="s">
        <v>1846</v>
      </c>
      <c r="F436">
        <v>3</v>
      </c>
      <c r="G436" t="s">
        <v>1860</v>
      </c>
    </row>
    <row r="437" spans="1:7" x14ac:dyDescent="0.25">
      <c r="A437" s="69" t="s">
        <v>237</v>
      </c>
      <c r="B437" s="71">
        <v>43281</v>
      </c>
      <c r="C437">
        <v>0</v>
      </c>
      <c r="D437" t="s">
        <v>1841</v>
      </c>
      <c r="E437" t="s">
        <v>1847</v>
      </c>
      <c r="F437">
        <v>6</v>
      </c>
      <c r="G437" t="s">
        <v>1861</v>
      </c>
    </row>
    <row r="438" spans="1:7" x14ac:dyDescent="0.25">
      <c r="A438" s="69" t="s">
        <v>237</v>
      </c>
      <c r="B438" s="71">
        <v>43373</v>
      </c>
      <c r="C438">
        <v>0</v>
      </c>
      <c r="D438" t="s">
        <v>1841</v>
      </c>
      <c r="E438" t="s">
        <v>1848</v>
      </c>
      <c r="F438">
        <v>9</v>
      </c>
      <c r="G438" t="s">
        <v>1862</v>
      </c>
    </row>
    <row r="439" spans="1:7" x14ac:dyDescent="0.25">
      <c r="A439" s="69" t="s">
        <v>237</v>
      </c>
      <c r="B439" s="71">
        <v>43465</v>
      </c>
      <c r="C439">
        <v>0</v>
      </c>
      <c r="D439" t="s">
        <v>1841</v>
      </c>
      <c r="E439" t="s">
        <v>1849</v>
      </c>
      <c r="F439">
        <v>12</v>
      </c>
      <c r="G439" t="s">
        <v>1863</v>
      </c>
    </row>
    <row r="440" spans="1:7" x14ac:dyDescent="0.25">
      <c r="A440" s="69" t="s">
        <v>237</v>
      </c>
      <c r="B440" s="71">
        <v>43555</v>
      </c>
      <c r="C440">
        <v>0</v>
      </c>
      <c r="D440" t="s">
        <v>1842</v>
      </c>
      <c r="E440" t="s">
        <v>1846</v>
      </c>
      <c r="F440">
        <v>3</v>
      </c>
      <c r="G440" t="s">
        <v>1860</v>
      </c>
    </row>
    <row r="441" spans="1:7" x14ac:dyDescent="0.25">
      <c r="A441" s="69" t="s">
        <v>237</v>
      </c>
      <c r="B441" s="71">
        <v>43646</v>
      </c>
      <c r="C441">
        <v>0</v>
      </c>
      <c r="D441" t="s">
        <v>1842</v>
      </c>
      <c r="E441" t="s">
        <v>1847</v>
      </c>
      <c r="F441">
        <v>6</v>
      </c>
      <c r="G441" t="s">
        <v>1861</v>
      </c>
    </row>
    <row r="442" spans="1:7" x14ac:dyDescent="0.25">
      <c r="A442" s="69" t="s">
        <v>237</v>
      </c>
      <c r="B442" s="71">
        <v>43738</v>
      </c>
      <c r="C442">
        <v>0</v>
      </c>
      <c r="D442" t="s">
        <v>1842</v>
      </c>
      <c r="E442" t="s">
        <v>1848</v>
      </c>
      <c r="F442">
        <v>9</v>
      </c>
      <c r="G442" t="s">
        <v>1862</v>
      </c>
    </row>
    <row r="443" spans="1:7" x14ac:dyDescent="0.25">
      <c r="A443" s="69" t="s">
        <v>237</v>
      </c>
      <c r="B443" s="71">
        <v>43830</v>
      </c>
      <c r="C443">
        <v>0</v>
      </c>
      <c r="D443" t="s">
        <v>1842</v>
      </c>
      <c r="E443" t="s">
        <v>1849</v>
      </c>
      <c r="F443">
        <v>12</v>
      </c>
      <c r="G443" t="s">
        <v>1863</v>
      </c>
    </row>
    <row r="444" spans="1:7" x14ac:dyDescent="0.25">
      <c r="A444" s="69" t="s">
        <v>237</v>
      </c>
      <c r="B444" s="71">
        <v>43921</v>
      </c>
      <c r="C444">
        <v>0</v>
      </c>
      <c r="D444" t="s">
        <v>1843</v>
      </c>
      <c r="E444" t="s">
        <v>1846</v>
      </c>
      <c r="F444">
        <v>3</v>
      </c>
      <c r="G444" t="s">
        <v>1860</v>
      </c>
    </row>
    <row r="445" spans="1:7" x14ac:dyDescent="0.25">
      <c r="A445" s="69" t="s">
        <v>237</v>
      </c>
      <c r="B445" s="71">
        <v>44012</v>
      </c>
      <c r="C445">
        <v>0</v>
      </c>
      <c r="D445" t="s">
        <v>1843</v>
      </c>
      <c r="E445" t="s">
        <v>1847</v>
      </c>
      <c r="F445">
        <v>6</v>
      </c>
      <c r="G445" t="s">
        <v>1861</v>
      </c>
    </row>
    <row r="446" spans="1:7" x14ac:dyDescent="0.25">
      <c r="A446" s="69" t="s">
        <v>237</v>
      </c>
      <c r="B446" s="71">
        <v>44196</v>
      </c>
      <c r="C446">
        <v>0</v>
      </c>
      <c r="D446" t="s">
        <v>1843</v>
      </c>
      <c r="E446" t="s">
        <v>1849</v>
      </c>
      <c r="F446">
        <v>12</v>
      </c>
      <c r="G446" t="s">
        <v>1863</v>
      </c>
    </row>
    <row r="447" spans="1:7" x14ac:dyDescent="0.25">
      <c r="A447" s="69" t="s">
        <v>237</v>
      </c>
      <c r="B447" s="71">
        <v>44286</v>
      </c>
      <c r="C447">
        <v>0</v>
      </c>
      <c r="D447" t="s">
        <v>1844</v>
      </c>
      <c r="E447" t="s">
        <v>1846</v>
      </c>
      <c r="F447">
        <v>3</v>
      </c>
      <c r="G447" t="s">
        <v>1860</v>
      </c>
    </row>
    <row r="448" spans="1:7" x14ac:dyDescent="0.25">
      <c r="A448" s="69" t="s">
        <v>237</v>
      </c>
      <c r="B448" s="71">
        <v>44377</v>
      </c>
      <c r="C448">
        <v>0</v>
      </c>
      <c r="D448" t="s">
        <v>1844</v>
      </c>
      <c r="E448" t="s">
        <v>1847</v>
      </c>
      <c r="F448">
        <v>6</v>
      </c>
      <c r="G448" t="s">
        <v>1861</v>
      </c>
    </row>
    <row r="449" spans="1:7" x14ac:dyDescent="0.25">
      <c r="A449" s="69" t="s">
        <v>237</v>
      </c>
      <c r="B449" s="71">
        <v>44469</v>
      </c>
      <c r="C449">
        <v>0</v>
      </c>
      <c r="D449" t="s">
        <v>1844</v>
      </c>
      <c r="E449" t="s">
        <v>1848</v>
      </c>
      <c r="F449">
        <v>9</v>
      </c>
      <c r="G449" t="s">
        <v>1862</v>
      </c>
    </row>
    <row r="450" spans="1:7" x14ac:dyDescent="0.25">
      <c r="A450" s="69" t="s">
        <v>237</v>
      </c>
      <c r="B450" s="71">
        <v>44651</v>
      </c>
      <c r="C450">
        <v>0</v>
      </c>
      <c r="D450" t="s">
        <v>1845</v>
      </c>
      <c r="E450" t="s">
        <v>1846</v>
      </c>
      <c r="F450">
        <v>3</v>
      </c>
      <c r="G450" t="s">
        <v>1860</v>
      </c>
    </row>
    <row r="451" spans="1:7" x14ac:dyDescent="0.25">
      <c r="A451" s="69" t="s">
        <v>237</v>
      </c>
      <c r="B451" s="71">
        <v>44742</v>
      </c>
      <c r="C451">
        <v>0</v>
      </c>
      <c r="D451" t="s">
        <v>1845</v>
      </c>
      <c r="E451" t="s">
        <v>1847</v>
      </c>
      <c r="F451">
        <v>6</v>
      </c>
      <c r="G451" t="s">
        <v>1861</v>
      </c>
    </row>
    <row r="452" spans="1:7" x14ac:dyDescent="0.25">
      <c r="A452" s="69" t="s">
        <v>237</v>
      </c>
      <c r="B452" s="71">
        <v>44834</v>
      </c>
      <c r="C452">
        <v>0</v>
      </c>
      <c r="D452" t="s">
        <v>1845</v>
      </c>
      <c r="E452" t="s">
        <v>1848</v>
      </c>
      <c r="F452">
        <v>9</v>
      </c>
      <c r="G452" t="s">
        <v>1862</v>
      </c>
    </row>
    <row r="453" spans="1:7" x14ac:dyDescent="0.25">
      <c r="A453" s="69" t="s">
        <v>237</v>
      </c>
      <c r="B453" s="71">
        <v>44926</v>
      </c>
      <c r="C453">
        <v>0</v>
      </c>
      <c r="D453" t="s">
        <v>1845</v>
      </c>
      <c r="E453" t="s">
        <v>1849</v>
      </c>
      <c r="F453">
        <v>12</v>
      </c>
      <c r="G453" t="s">
        <v>1863</v>
      </c>
    </row>
    <row r="454" spans="1:7" x14ac:dyDescent="0.25">
      <c r="A454" s="69" t="s">
        <v>240</v>
      </c>
      <c r="B454" s="71">
        <v>44196</v>
      </c>
      <c r="C454">
        <v>0</v>
      </c>
      <c r="D454" t="s">
        <v>1843</v>
      </c>
      <c r="E454" t="s">
        <v>1849</v>
      </c>
      <c r="F454">
        <v>12</v>
      </c>
      <c r="G454" t="s">
        <v>1863</v>
      </c>
    </row>
    <row r="455" spans="1:7" x14ac:dyDescent="0.25">
      <c r="A455" s="69" t="s">
        <v>243</v>
      </c>
      <c r="B455" s="71">
        <v>42460</v>
      </c>
      <c r="C455">
        <v>0</v>
      </c>
      <c r="D455" t="s">
        <v>1839</v>
      </c>
      <c r="E455" t="s">
        <v>1846</v>
      </c>
      <c r="F455">
        <v>3</v>
      </c>
      <c r="G455" t="s">
        <v>1860</v>
      </c>
    </row>
    <row r="456" spans="1:7" x14ac:dyDescent="0.25">
      <c r="A456" s="69" t="s">
        <v>243</v>
      </c>
      <c r="B456" s="71">
        <v>42551</v>
      </c>
      <c r="C456">
        <v>0</v>
      </c>
      <c r="D456" t="s">
        <v>1839</v>
      </c>
      <c r="E456" t="s">
        <v>1847</v>
      </c>
      <c r="F456">
        <v>6</v>
      </c>
      <c r="G456" t="s">
        <v>1861</v>
      </c>
    </row>
    <row r="457" spans="1:7" x14ac:dyDescent="0.25">
      <c r="A457" s="69" t="s">
        <v>243</v>
      </c>
      <c r="B457" s="71">
        <v>42643</v>
      </c>
      <c r="C457">
        <v>0</v>
      </c>
      <c r="D457" t="s">
        <v>1839</v>
      </c>
      <c r="E457" t="s">
        <v>1848</v>
      </c>
      <c r="F457">
        <v>9</v>
      </c>
      <c r="G457" t="s">
        <v>1862</v>
      </c>
    </row>
    <row r="458" spans="1:7" x14ac:dyDescent="0.25">
      <c r="A458" s="69" t="s">
        <v>243</v>
      </c>
      <c r="B458" s="71">
        <v>42735</v>
      </c>
      <c r="C458">
        <v>0</v>
      </c>
      <c r="D458" t="s">
        <v>1839</v>
      </c>
      <c r="E458" t="s">
        <v>1849</v>
      </c>
      <c r="F458">
        <v>12</v>
      </c>
      <c r="G458" t="s">
        <v>1863</v>
      </c>
    </row>
    <row r="459" spans="1:7" x14ac:dyDescent="0.25">
      <c r="A459" s="69" t="s">
        <v>243</v>
      </c>
      <c r="B459" s="71">
        <v>42825</v>
      </c>
      <c r="C459">
        <v>0</v>
      </c>
      <c r="D459" t="s">
        <v>1840</v>
      </c>
      <c r="E459" t="s">
        <v>1846</v>
      </c>
      <c r="F459">
        <v>3</v>
      </c>
      <c r="G459" t="s">
        <v>1860</v>
      </c>
    </row>
    <row r="460" spans="1:7" x14ac:dyDescent="0.25">
      <c r="A460" s="69" t="s">
        <v>243</v>
      </c>
      <c r="B460" s="71">
        <v>42916</v>
      </c>
      <c r="C460">
        <v>0</v>
      </c>
      <c r="D460" t="s">
        <v>1840</v>
      </c>
      <c r="E460" t="s">
        <v>1847</v>
      </c>
      <c r="F460">
        <v>6</v>
      </c>
      <c r="G460" t="s">
        <v>1861</v>
      </c>
    </row>
    <row r="461" spans="1:7" x14ac:dyDescent="0.25">
      <c r="A461" s="69" t="s">
        <v>243</v>
      </c>
      <c r="B461" s="71">
        <v>43008</v>
      </c>
      <c r="C461">
        <v>0</v>
      </c>
      <c r="D461" t="s">
        <v>1840</v>
      </c>
      <c r="E461" t="s">
        <v>1848</v>
      </c>
      <c r="F461">
        <v>9</v>
      </c>
      <c r="G461" t="s">
        <v>1862</v>
      </c>
    </row>
    <row r="462" spans="1:7" x14ac:dyDescent="0.25">
      <c r="A462" s="69" t="s">
        <v>243</v>
      </c>
      <c r="B462" s="71">
        <v>43100</v>
      </c>
      <c r="C462">
        <v>0</v>
      </c>
      <c r="D462" t="s">
        <v>1840</v>
      </c>
      <c r="E462" t="s">
        <v>1849</v>
      </c>
      <c r="F462">
        <v>12</v>
      </c>
      <c r="G462" t="s">
        <v>1863</v>
      </c>
    </row>
    <row r="463" spans="1:7" x14ac:dyDescent="0.25">
      <c r="A463" s="69" t="s">
        <v>243</v>
      </c>
      <c r="B463" s="71">
        <v>43190</v>
      </c>
      <c r="C463">
        <v>0</v>
      </c>
      <c r="D463" t="s">
        <v>1841</v>
      </c>
      <c r="E463" t="s">
        <v>1846</v>
      </c>
      <c r="F463">
        <v>3</v>
      </c>
      <c r="G463" t="s">
        <v>1860</v>
      </c>
    </row>
    <row r="464" spans="1:7" x14ac:dyDescent="0.25">
      <c r="A464" s="69" t="s">
        <v>243</v>
      </c>
      <c r="B464" s="71">
        <v>43281</v>
      </c>
      <c r="C464">
        <v>0</v>
      </c>
      <c r="D464" t="s">
        <v>1841</v>
      </c>
      <c r="E464" t="s">
        <v>1847</v>
      </c>
      <c r="F464">
        <v>6</v>
      </c>
      <c r="G464" t="s">
        <v>1861</v>
      </c>
    </row>
    <row r="465" spans="1:7" x14ac:dyDescent="0.25">
      <c r="A465" s="69" t="s">
        <v>243</v>
      </c>
      <c r="B465" s="71">
        <v>43373</v>
      </c>
      <c r="C465">
        <v>0</v>
      </c>
      <c r="D465" t="s">
        <v>1841</v>
      </c>
      <c r="E465" t="s">
        <v>1848</v>
      </c>
      <c r="F465">
        <v>9</v>
      </c>
      <c r="G465" t="s">
        <v>1862</v>
      </c>
    </row>
    <row r="466" spans="1:7" x14ac:dyDescent="0.25">
      <c r="A466" s="69" t="s">
        <v>243</v>
      </c>
      <c r="B466" s="71">
        <v>43465</v>
      </c>
      <c r="C466">
        <v>0</v>
      </c>
      <c r="D466" t="s">
        <v>1841</v>
      </c>
      <c r="E466" t="s">
        <v>1849</v>
      </c>
      <c r="F466">
        <v>12</v>
      </c>
      <c r="G466" t="s">
        <v>1863</v>
      </c>
    </row>
    <row r="467" spans="1:7" x14ac:dyDescent="0.25">
      <c r="A467" s="69" t="s">
        <v>243</v>
      </c>
      <c r="B467" s="71">
        <v>43555</v>
      </c>
      <c r="C467">
        <v>0</v>
      </c>
      <c r="D467" t="s">
        <v>1842</v>
      </c>
      <c r="E467" t="s">
        <v>1846</v>
      </c>
      <c r="F467">
        <v>3</v>
      </c>
      <c r="G467" t="s">
        <v>1860</v>
      </c>
    </row>
    <row r="468" spans="1:7" x14ac:dyDescent="0.25">
      <c r="A468" s="69" t="s">
        <v>243</v>
      </c>
      <c r="B468" s="71">
        <v>43646</v>
      </c>
      <c r="C468">
        <v>0</v>
      </c>
      <c r="D468" t="s">
        <v>1842</v>
      </c>
      <c r="E468" t="s">
        <v>1847</v>
      </c>
      <c r="F468">
        <v>6</v>
      </c>
      <c r="G468" t="s">
        <v>1861</v>
      </c>
    </row>
    <row r="469" spans="1:7" x14ac:dyDescent="0.25">
      <c r="A469" s="69" t="s">
        <v>243</v>
      </c>
      <c r="B469" s="71">
        <v>43738</v>
      </c>
      <c r="C469">
        <v>0</v>
      </c>
      <c r="D469" t="s">
        <v>1842</v>
      </c>
      <c r="E469" t="s">
        <v>1848</v>
      </c>
      <c r="F469">
        <v>9</v>
      </c>
      <c r="G469" t="s">
        <v>1862</v>
      </c>
    </row>
    <row r="470" spans="1:7" x14ac:dyDescent="0.25">
      <c r="A470" s="69" t="s">
        <v>243</v>
      </c>
      <c r="B470" s="71">
        <v>43830</v>
      </c>
      <c r="C470">
        <v>0</v>
      </c>
      <c r="D470" t="s">
        <v>1842</v>
      </c>
      <c r="E470" t="s">
        <v>1849</v>
      </c>
      <c r="F470">
        <v>12</v>
      </c>
      <c r="G470" t="s">
        <v>1863</v>
      </c>
    </row>
    <row r="471" spans="1:7" x14ac:dyDescent="0.25">
      <c r="A471" s="69" t="s">
        <v>246</v>
      </c>
      <c r="B471" s="71">
        <v>42460</v>
      </c>
      <c r="C471">
        <v>0</v>
      </c>
      <c r="D471" t="s">
        <v>1839</v>
      </c>
      <c r="E471" t="s">
        <v>1846</v>
      </c>
      <c r="F471">
        <v>3</v>
      </c>
      <c r="G471" t="s">
        <v>1860</v>
      </c>
    </row>
    <row r="472" spans="1:7" x14ac:dyDescent="0.25">
      <c r="A472" s="69" t="s">
        <v>247</v>
      </c>
      <c r="B472" s="71">
        <v>42460</v>
      </c>
      <c r="C472">
        <v>0</v>
      </c>
      <c r="D472" t="s">
        <v>1839</v>
      </c>
      <c r="E472" t="s">
        <v>1846</v>
      </c>
      <c r="F472">
        <v>3</v>
      </c>
      <c r="G472" t="s">
        <v>1860</v>
      </c>
    </row>
    <row r="473" spans="1:7" x14ac:dyDescent="0.25">
      <c r="A473" s="69" t="s">
        <v>247</v>
      </c>
      <c r="B473" s="71">
        <v>42551</v>
      </c>
      <c r="C473">
        <v>0</v>
      </c>
      <c r="D473" t="s">
        <v>1839</v>
      </c>
      <c r="E473" t="s">
        <v>1847</v>
      </c>
      <c r="F473">
        <v>6</v>
      </c>
      <c r="G473" t="s">
        <v>1861</v>
      </c>
    </row>
    <row r="474" spans="1:7" x14ac:dyDescent="0.25">
      <c r="A474" s="69" t="s">
        <v>247</v>
      </c>
      <c r="B474" s="71">
        <v>42735</v>
      </c>
      <c r="C474">
        <v>0</v>
      </c>
      <c r="D474" t="s">
        <v>1839</v>
      </c>
      <c r="E474" t="s">
        <v>1849</v>
      </c>
      <c r="F474">
        <v>12</v>
      </c>
      <c r="G474" t="s">
        <v>1863</v>
      </c>
    </row>
    <row r="475" spans="1:7" x14ac:dyDescent="0.25">
      <c r="A475" s="69" t="s">
        <v>247</v>
      </c>
      <c r="B475" s="71">
        <v>42825</v>
      </c>
      <c r="C475">
        <v>0</v>
      </c>
      <c r="D475" t="s">
        <v>1840</v>
      </c>
      <c r="E475" t="s">
        <v>1846</v>
      </c>
      <c r="F475">
        <v>3</v>
      </c>
      <c r="G475" t="s">
        <v>1860</v>
      </c>
    </row>
    <row r="476" spans="1:7" x14ac:dyDescent="0.25">
      <c r="A476" s="69" t="s">
        <v>247</v>
      </c>
      <c r="B476" s="71">
        <v>42916</v>
      </c>
      <c r="C476">
        <v>0</v>
      </c>
      <c r="D476" t="s">
        <v>1840</v>
      </c>
      <c r="E476" t="s">
        <v>1847</v>
      </c>
      <c r="F476">
        <v>6</v>
      </c>
      <c r="G476" t="s">
        <v>1861</v>
      </c>
    </row>
    <row r="477" spans="1:7" x14ac:dyDescent="0.25">
      <c r="A477" s="69" t="s">
        <v>247</v>
      </c>
      <c r="B477" s="71">
        <v>43008</v>
      </c>
      <c r="C477">
        <v>0</v>
      </c>
      <c r="D477" t="s">
        <v>1840</v>
      </c>
      <c r="E477" t="s">
        <v>1848</v>
      </c>
      <c r="F477">
        <v>9</v>
      </c>
      <c r="G477" t="s">
        <v>1862</v>
      </c>
    </row>
    <row r="478" spans="1:7" x14ac:dyDescent="0.25">
      <c r="A478" s="69" t="s">
        <v>247</v>
      </c>
      <c r="B478" s="71">
        <v>43100</v>
      </c>
      <c r="C478">
        <v>0</v>
      </c>
      <c r="D478" t="s">
        <v>1840</v>
      </c>
      <c r="E478" t="s">
        <v>1849</v>
      </c>
      <c r="F478">
        <v>12</v>
      </c>
      <c r="G478" t="s">
        <v>1863</v>
      </c>
    </row>
    <row r="479" spans="1:7" x14ac:dyDescent="0.25">
      <c r="A479" s="69" t="s">
        <v>247</v>
      </c>
      <c r="B479" s="71">
        <v>43190</v>
      </c>
      <c r="C479">
        <v>0</v>
      </c>
      <c r="D479" t="s">
        <v>1841</v>
      </c>
      <c r="E479" t="s">
        <v>1846</v>
      </c>
      <c r="F479">
        <v>3</v>
      </c>
      <c r="G479" t="s">
        <v>1860</v>
      </c>
    </row>
    <row r="480" spans="1:7" x14ac:dyDescent="0.25">
      <c r="A480" s="69" t="s">
        <v>247</v>
      </c>
      <c r="B480" s="71">
        <v>43281</v>
      </c>
      <c r="C480">
        <v>0</v>
      </c>
      <c r="D480" t="s">
        <v>1841</v>
      </c>
      <c r="E480" t="s">
        <v>1847</v>
      </c>
      <c r="F480">
        <v>6</v>
      </c>
      <c r="G480" t="s">
        <v>1861</v>
      </c>
    </row>
    <row r="481" spans="1:7" x14ac:dyDescent="0.25">
      <c r="A481" s="69" t="s">
        <v>247</v>
      </c>
      <c r="B481" s="71">
        <v>43646</v>
      </c>
      <c r="C481">
        <v>0</v>
      </c>
      <c r="D481" t="s">
        <v>1842</v>
      </c>
      <c r="E481" t="s">
        <v>1847</v>
      </c>
      <c r="F481">
        <v>6</v>
      </c>
      <c r="G481" t="s">
        <v>1861</v>
      </c>
    </row>
    <row r="482" spans="1:7" x14ac:dyDescent="0.25">
      <c r="A482" s="69" t="s">
        <v>247</v>
      </c>
      <c r="B482" s="71">
        <v>43738</v>
      </c>
      <c r="C482">
        <v>0</v>
      </c>
      <c r="D482" t="s">
        <v>1842</v>
      </c>
      <c r="E482" t="s">
        <v>1848</v>
      </c>
      <c r="F482">
        <v>9</v>
      </c>
      <c r="G482" t="s">
        <v>1862</v>
      </c>
    </row>
    <row r="483" spans="1:7" x14ac:dyDescent="0.25">
      <c r="A483" s="69" t="s">
        <v>247</v>
      </c>
      <c r="B483" s="71">
        <v>43830</v>
      </c>
      <c r="C483">
        <v>0</v>
      </c>
      <c r="D483" t="s">
        <v>1842</v>
      </c>
      <c r="E483" t="s">
        <v>1849</v>
      </c>
      <c r="F483">
        <v>12</v>
      </c>
      <c r="G483" t="s">
        <v>1863</v>
      </c>
    </row>
    <row r="484" spans="1:7" x14ac:dyDescent="0.25">
      <c r="A484" s="69" t="s">
        <v>247</v>
      </c>
      <c r="B484" s="71">
        <v>44012</v>
      </c>
      <c r="C484">
        <v>0</v>
      </c>
      <c r="D484" t="s">
        <v>1843</v>
      </c>
      <c r="E484" t="s">
        <v>1847</v>
      </c>
      <c r="F484">
        <v>6</v>
      </c>
      <c r="G484" t="s">
        <v>1861</v>
      </c>
    </row>
    <row r="485" spans="1:7" x14ac:dyDescent="0.25">
      <c r="A485" s="69" t="s">
        <v>247</v>
      </c>
      <c r="B485" s="71">
        <v>44104</v>
      </c>
      <c r="C485">
        <v>0</v>
      </c>
      <c r="D485" t="s">
        <v>1843</v>
      </c>
      <c r="E485" t="s">
        <v>1848</v>
      </c>
      <c r="F485">
        <v>9</v>
      </c>
      <c r="G485" t="s">
        <v>1862</v>
      </c>
    </row>
    <row r="486" spans="1:7" x14ac:dyDescent="0.25">
      <c r="A486" s="69" t="s">
        <v>247</v>
      </c>
      <c r="B486" s="71">
        <v>44196</v>
      </c>
      <c r="C486">
        <v>0</v>
      </c>
      <c r="D486" t="s">
        <v>1843</v>
      </c>
      <c r="E486" t="s">
        <v>1849</v>
      </c>
      <c r="F486">
        <v>12</v>
      </c>
      <c r="G486" t="s">
        <v>1863</v>
      </c>
    </row>
    <row r="487" spans="1:7" x14ac:dyDescent="0.25">
      <c r="A487" s="69" t="s">
        <v>247</v>
      </c>
      <c r="B487" s="71">
        <v>44286</v>
      </c>
      <c r="C487">
        <v>0</v>
      </c>
      <c r="D487" t="s">
        <v>1844</v>
      </c>
      <c r="E487" t="s">
        <v>1846</v>
      </c>
      <c r="F487">
        <v>3</v>
      </c>
      <c r="G487" t="s">
        <v>1860</v>
      </c>
    </row>
    <row r="488" spans="1:7" x14ac:dyDescent="0.25">
      <c r="A488" s="69" t="s">
        <v>247</v>
      </c>
      <c r="B488" s="71">
        <v>44377</v>
      </c>
      <c r="C488">
        <v>0</v>
      </c>
      <c r="D488" t="s">
        <v>1844</v>
      </c>
      <c r="E488" t="s">
        <v>1847</v>
      </c>
      <c r="F488">
        <v>6</v>
      </c>
      <c r="G488" t="s">
        <v>1861</v>
      </c>
    </row>
    <row r="489" spans="1:7" x14ac:dyDescent="0.25">
      <c r="A489" s="69" t="s">
        <v>247</v>
      </c>
      <c r="B489" s="71">
        <v>44469</v>
      </c>
      <c r="C489">
        <v>0</v>
      </c>
      <c r="D489" t="s">
        <v>1844</v>
      </c>
      <c r="E489" t="s">
        <v>1848</v>
      </c>
      <c r="F489">
        <v>9</v>
      </c>
      <c r="G489" t="s">
        <v>1862</v>
      </c>
    </row>
    <row r="490" spans="1:7" x14ac:dyDescent="0.25">
      <c r="A490" s="69" t="s">
        <v>247</v>
      </c>
      <c r="B490" s="71">
        <v>44561</v>
      </c>
      <c r="C490">
        <v>0</v>
      </c>
      <c r="D490" t="s">
        <v>1844</v>
      </c>
      <c r="E490" t="s">
        <v>1849</v>
      </c>
      <c r="F490">
        <v>12</v>
      </c>
      <c r="G490" t="s">
        <v>1863</v>
      </c>
    </row>
    <row r="491" spans="1:7" x14ac:dyDescent="0.25">
      <c r="A491" s="69" t="s">
        <v>247</v>
      </c>
      <c r="B491" s="71">
        <v>44651</v>
      </c>
      <c r="C491">
        <v>0</v>
      </c>
      <c r="D491" t="s">
        <v>1845</v>
      </c>
      <c r="E491" t="s">
        <v>1846</v>
      </c>
      <c r="F491">
        <v>3</v>
      </c>
      <c r="G491" t="s">
        <v>1860</v>
      </c>
    </row>
    <row r="492" spans="1:7" x14ac:dyDescent="0.25">
      <c r="A492" s="69" t="s">
        <v>247</v>
      </c>
      <c r="B492" s="71">
        <v>44742</v>
      </c>
      <c r="C492">
        <v>0</v>
      </c>
      <c r="D492" t="s">
        <v>1845</v>
      </c>
      <c r="E492" t="s">
        <v>1847</v>
      </c>
      <c r="F492">
        <v>6</v>
      </c>
      <c r="G492" t="s">
        <v>1861</v>
      </c>
    </row>
    <row r="493" spans="1:7" x14ac:dyDescent="0.25">
      <c r="A493" s="69" t="s">
        <v>247</v>
      </c>
      <c r="B493" s="71">
        <v>44834</v>
      </c>
      <c r="C493">
        <v>0</v>
      </c>
      <c r="D493" t="s">
        <v>1845</v>
      </c>
      <c r="E493" t="s">
        <v>1848</v>
      </c>
      <c r="F493">
        <v>9</v>
      </c>
      <c r="G493" t="s">
        <v>1862</v>
      </c>
    </row>
    <row r="494" spans="1:7" x14ac:dyDescent="0.25">
      <c r="A494" s="69" t="s">
        <v>247</v>
      </c>
      <c r="B494" s="71">
        <v>44926</v>
      </c>
      <c r="C494">
        <v>0</v>
      </c>
      <c r="D494" t="s">
        <v>1845</v>
      </c>
      <c r="E494" t="s">
        <v>1849</v>
      </c>
      <c r="F494">
        <v>12</v>
      </c>
      <c r="G494" t="s">
        <v>1863</v>
      </c>
    </row>
    <row r="495" spans="1:7" x14ac:dyDescent="0.25">
      <c r="A495" s="69" t="s">
        <v>253</v>
      </c>
      <c r="B495" s="71">
        <v>42460</v>
      </c>
      <c r="C495">
        <v>0</v>
      </c>
      <c r="D495" t="s">
        <v>1839</v>
      </c>
      <c r="E495" t="s">
        <v>1846</v>
      </c>
      <c r="F495">
        <v>3</v>
      </c>
      <c r="G495" t="s">
        <v>1860</v>
      </c>
    </row>
    <row r="496" spans="1:7" x14ac:dyDescent="0.25">
      <c r="A496" s="69" t="s">
        <v>253</v>
      </c>
      <c r="B496" s="71">
        <v>42551</v>
      </c>
      <c r="C496">
        <v>0</v>
      </c>
      <c r="D496" t="s">
        <v>1839</v>
      </c>
      <c r="E496" t="s">
        <v>1847</v>
      </c>
      <c r="F496">
        <v>6</v>
      </c>
      <c r="G496" t="s">
        <v>1861</v>
      </c>
    </row>
    <row r="497" spans="1:7" x14ac:dyDescent="0.25">
      <c r="A497" s="69" t="s">
        <v>253</v>
      </c>
      <c r="B497" s="71">
        <v>42643</v>
      </c>
      <c r="C497">
        <v>0</v>
      </c>
      <c r="D497" t="s">
        <v>1839</v>
      </c>
      <c r="E497" t="s">
        <v>1848</v>
      </c>
      <c r="F497">
        <v>9</v>
      </c>
      <c r="G497" t="s">
        <v>1862</v>
      </c>
    </row>
    <row r="498" spans="1:7" x14ac:dyDescent="0.25">
      <c r="A498" s="69" t="s">
        <v>253</v>
      </c>
      <c r="B498" s="71">
        <v>42735</v>
      </c>
      <c r="C498">
        <v>0</v>
      </c>
      <c r="D498" t="s">
        <v>1839</v>
      </c>
      <c r="E498" t="s">
        <v>1849</v>
      </c>
      <c r="F498">
        <v>12</v>
      </c>
      <c r="G498" t="s">
        <v>1863</v>
      </c>
    </row>
    <row r="499" spans="1:7" x14ac:dyDescent="0.25">
      <c r="A499" s="69" t="s">
        <v>253</v>
      </c>
      <c r="B499" s="71">
        <v>42825</v>
      </c>
      <c r="C499">
        <v>0</v>
      </c>
      <c r="D499" t="s">
        <v>1840</v>
      </c>
      <c r="E499" t="s">
        <v>1846</v>
      </c>
      <c r="F499">
        <v>3</v>
      </c>
      <c r="G499" t="s">
        <v>1860</v>
      </c>
    </row>
    <row r="500" spans="1:7" x14ac:dyDescent="0.25">
      <c r="A500" s="69" t="s">
        <v>253</v>
      </c>
      <c r="B500" s="71">
        <v>42916</v>
      </c>
      <c r="C500">
        <v>0</v>
      </c>
      <c r="D500" t="s">
        <v>1840</v>
      </c>
      <c r="E500" t="s">
        <v>1847</v>
      </c>
      <c r="F500">
        <v>6</v>
      </c>
      <c r="G500" t="s">
        <v>1861</v>
      </c>
    </row>
    <row r="501" spans="1:7" x14ac:dyDescent="0.25">
      <c r="A501" s="69" t="s">
        <v>253</v>
      </c>
      <c r="B501" s="71">
        <v>43008</v>
      </c>
      <c r="C501">
        <v>0</v>
      </c>
      <c r="D501" t="s">
        <v>1840</v>
      </c>
      <c r="E501" t="s">
        <v>1848</v>
      </c>
      <c r="F501">
        <v>9</v>
      </c>
      <c r="G501" t="s">
        <v>1862</v>
      </c>
    </row>
    <row r="502" spans="1:7" x14ac:dyDescent="0.25">
      <c r="A502" s="69" t="s">
        <v>253</v>
      </c>
      <c r="B502" s="71">
        <v>43100</v>
      </c>
      <c r="C502">
        <v>0</v>
      </c>
      <c r="D502" t="s">
        <v>1840</v>
      </c>
      <c r="E502" t="s">
        <v>1849</v>
      </c>
      <c r="F502">
        <v>12</v>
      </c>
      <c r="G502" t="s">
        <v>1863</v>
      </c>
    </row>
    <row r="503" spans="1:7" x14ac:dyDescent="0.25">
      <c r="A503" s="69" t="s">
        <v>253</v>
      </c>
      <c r="B503" s="71">
        <v>43190</v>
      </c>
      <c r="C503">
        <v>0</v>
      </c>
      <c r="D503" t="s">
        <v>1841</v>
      </c>
      <c r="E503" t="s">
        <v>1846</v>
      </c>
      <c r="F503">
        <v>3</v>
      </c>
      <c r="G503" t="s">
        <v>1860</v>
      </c>
    </row>
    <row r="504" spans="1:7" x14ac:dyDescent="0.25">
      <c r="A504" s="69" t="s">
        <v>253</v>
      </c>
      <c r="B504" s="71">
        <v>43281</v>
      </c>
      <c r="C504">
        <v>0</v>
      </c>
      <c r="D504" t="s">
        <v>1841</v>
      </c>
      <c r="E504" t="s">
        <v>1847</v>
      </c>
      <c r="F504">
        <v>6</v>
      </c>
      <c r="G504" t="s">
        <v>1861</v>
      </c>
    </row>
    <row r="505" spans="1:7" x14ac:dyDescent="0.25">
      <c r="A505" s="69" t="s">
        <v>253</v>
      </c>
      <c r="B505" s="71">
        <v>43373</v>
      </c>
      <c r="C505">
        <v>0</v>
      </c>
      <c r="D505" t="s">
        <v>1841</v>
      </c>
      <c r="E505" t="s">
        <v>1848</v>
      </c>
      <c r="F505">
        <v>9</v>
      </c>
      <c r="G505" t="s">
        <v>1862</v>
      </c>
    </row>
    <row r="506" spans="1:7" x14ac:dyDescent="0.25">
      <c r="A506" s="69" t="s">
        <v>253</v>
      </c>
      <c r="B506" s="71">
        <v>43465</v>
      </c>
      <c r="C506">
        <v>0</v>
      </c>
      <c r="D506" t="s">
        <v>1841</v>
      </c>
      <c r="E506" t="s">
        <v>1849</v>
      </c>
      <c r="F506">
        <v>12</v>
      </c>
      <c r="G506" t="s">
        <v>1863</v>
      </c>
    </row>
    <row r="507" spans="1:7" x14ac:dyDescent="0.25">
      <c r="A507" s="69" t="s">
        <v>253</v>
      </c>
      <c r="B507" s="71">
        <v>43555</v>
      </c>
      <c r="C507">
        <v>0</v>
      </c>
      <c r="D507" t="s">
        <v>1842</v>
      </c>
      <c r="E507" t="s">
        <v>1846</v>
      </c>
      <c r="F507">
        <v>3</v>
      </c>
      <c r="G507" t="s">
        <v>1860</v>
      </c>
    </row>
    <row r="508" spans="1:7" x14ac:dyDescent="0.25">
      <c r="A508" s="69" t="s">
        <v>253</v>
      </c>
      <c r="B508" s="71">
        <v>43646</v>
      </c>
      <c r="C508">
        <v>0</v>
      </c>
      <c r="D508" t="s">
        <v>1842</v>
      </c>
      <c r="E508" t="s">
        <v>1847</v>
      </c>
      <c r="F508">
        <v>6</v>
      </c>
      <c r="G508" t="s">
        <v>1861</v>
      </c>
    </row>
    <row r="509" spans="1:7" x14ac:dyDescent="0.25">
      <c r="A509" s="69" t="s">
        <v>253</v>
      </c>
      <c r="B509" s="71">
        <v>43738</v>
      </c>
      <c r="C509">
        <v>0</v>
      </c>
      <c r="D509" t="s">
        <v>1842</v>
      </c>
      <c r="E509" t="s">
        <v>1848</v>
      </c>
      <c r="F509">
        <v>9</v>
      </c>
      <c r="G509" t="s">
        <v>1862</v>
      </c>
    </row>
    <row r="510" spans="1:7" x14ac:dyDescent="0.25">
      <c r="A510" s="69" t="s">
        <v>253</v>
      </c>
      <c r="B510" s="71">
        <v>43830</v>
      </c>
      <c r="C510">
        <v>0</v>
      </c>
      <c r="D510" t="s">
        <v>1842</v>
      </c>
      <c r="E510" t="s">
        <v>1849</v>
      </c>
      <c r="F510">
        <v>12</v>
      </c>
      <c r="G510" t="s">
        <v>1863</v>
      </c>
    </row>
    <row r="511" spans="1:7" x14ac:dyDescent="0.25">
      <c r="A511" s="69" t="s">
        <v>253</v>
      </c>
      <c r="B511" s="71">
        <v>43921</v>
      </c>
      <c r="C511">
        <v>0</v>
      </c>
      <c r="D511" t="s">
        <v>1843</v>
      </c>
      <c r="E511" t="s">
        <v>1846</v>
      </c>
      <c r="F511">
        <v>3</v>
      </c>
      <c r="G511" t="s">
        <v>1860</v>
      </c>
    </row>
    <row r="512" spans="1:7" x14ac:dyDescent="0.25">
      <c r="A512" s="69" t="s">
        <v>78</v>
      </c>
      <c r="B512" s="71">
        <v>42460</v>
      </c>
      <c r="C512">
        <v>28755</v>
      </c>
      <c r="D512" t="s">
        <v>1839</v>
      </c>
      <c r="E512" t="s">
        <v>1846</v>
      </c>
      <c r="F512">
        <v>3</v>
      </c>
      <c r="G512" t="s">
        <v>1860</v>
      </c>
    </row>
    <row r="513" spans="1:7" x14ac:dyDescent="0.25">
      <c r="A513" s="69" t="s">
        <v>78</v>
      </c>
      <c r="B513" s="71">
        <v>42551</v>
      </c>
      <c r="C513">
        <v>37458</v>
      </c>
      <c r="D513" t="s">
        <v>1839</v>
      </c>
      <c r="E513" t="s">
        <v>1847</v>
      </c>
      <c r="F513">
        <v>6</v>
      </c>
      <c r="G513" t="s">
        <v>1861</v>
      </c>
    </row>
    <row r="514" spans="1:7" x14ac:dyDescent="0.25">
      <c r="A514" s="69" t="s">
        <v>78</v>
      </c>
      <c r="B514" s="71">
        <v>42643</v>
      </c>
      <c r="C514">
        <v>43791</v>
      </c>
      <c r="D514" t="s">
        <v>1839</v>
      </c>
      <c r="E514" t="s">
        <v>1848</v>
      </c>
      <c r="F514">
        <v>9</v>
      </c>
      <c r="G514" t="s">
        <v>1862</v>
      </c>
    </row>
    <row r="515" spans="1:7" x14ac:dyDescent="0.25">
      <c r="A515" s="69" t="s">
        <v>78</v>
      </c>
      <c r="B515" s="71">
        <v>42735</v>
      </c>
      <c r="C515">
        <v>38897</v>
      </c>
      <c r="D515" t="s">
        <v>1839</v>
      </c>
      <c r="E515" t="s">
        <v>1849</v>
      </c>
      <c r="F515">
        <v>12</v>
      </c>
      <c r="G515" t="s">
        <v>1863</v>
      </c>
    </row>
    <row r="516" spans="1:7" x14ac:dyDescent="0.25">
      <c r="A516" s="69" t="s">
        <v>78</v>
      </c>
      <c r="B516" s="71">
        <v>42825</v>
      </c>
      <c r="C516">
        <v>30883</v>
      </c>
      <c r="D516" t="s">
        <v>1840</v>
      </c>
      <c r="E516" t="s">
        <v>1846</v>
      </c>
      <c r="F516">
        <v>3</v>
      </c>
      <c r="G516" t="s">
        <v>1860</v>
      </c>
    </row>
    <row r="517" spans="1:7" x14ac:dyDescent="0.25">
      <c r="A517" s="69" t="s">
        <v>78</v>
      </c>
      <c r="B517" s="71">
        <v>42916</v>
      </c>
      <c r="C517">
        <v>40372</v>
      </c>
      <c r="D517" t="s">
        <v>1840</v>
      </c>
      <c r="E517" t="s">
        <v>1847</v>
      </c>
      <c r="F517">
        <v>6</v>
      </c>
      <c r="G517" t="s">
        <v>1861</v>
      </c>
    </row>
    <row r="518" spans="1:7" x14ac:dyDescent="0.25">
      <c r="A518" s="69" t="s">
        <v>78</v>
      </c>
      <c r="B518" s="71">
        <v>43008</v>
      </c>
      <c r="C518">
        <v>44899</v>
      </c>
      <c r="D518" t="s">
        <v>1840</v>
      </c>
      <c r="E518" t="s">
        <v>1848</v>
      </c>
      <c r="F518">
        <v>9</v>
      </c>
      <c r="G518" t="s">
        <v>1862</v>
      </c>
    </row>
    <row r="519" spans="1:7" x14ac:dyDescent="0.25">
      <c r="A519" s="69" t="s">
        <v>78</v>
      </c>
      <c r="B519" s="71">
        <v>43100</v>
      </c>
      <c r="C519">
        <v>39759</v>
      </c>
      <c r="D519" t="s">
        <v>1840</v>
      </c>
      <c r="E519" t="s">
        <v>1849</v>
      </c>
      <c r="F519">
        <v>12</v>
      </c>
      <c r="G519" t="s">
        <v>1863</v>
      </c>
    </row>
    <row r="520" spans="1:7" x14ac:dyDescent="0.25">
      <c r="A520" s="69" t="s">
        <v>78</v>
      </c>
      <c r="B520" s="71">
        <v>43190</v>
      </c>
      <c r="C520">
        <v>34394</v>
      </c>
      <c r="D520" t="s">
        <v>1841</v>
      </c>
      <c r="E520" t="s">
        <v>1846</v>
      </c>
      <c r="F520">
        <v>3</v>
      </c>
      <c r="G520" t="s">
        <v>1860</v>
      </c>
    </row>
    <row r="521" spans="1:7" x14ac:dyDescent="0.25">
      <c r="A521" s="69" t="s">
        <v>78</v>
      </c>
      <c r="B521" s="71">
        <v>43281</v>
      </c>
      <c r="C521">
        <v>41457</v>
      </c>
      <c r="D521" t="s">
        <v>1841</v>
      </c>
      <c r="E521" t="s">
        <v>1847</v>
      </c>
      <c r="F521">
        <v>6</v>
      </c>
      <c r="G521" t="s">
        <v>1861</v>
      </c>
    </row>
    <row r="522" spans="1:7" x14ac:dyDescent="0.25">
      <c r="A522" s="69" t="s">
        <v>78</v>
      </c>
      <c r="B522" s="71">
        <v>43373</v>
      </c>
      <c r="C522">
        <v>47769</v>
      </c>
      <c r="D522" t="s">
        <v>1841</v>
      </c>
      <c r="E522" t="s">
        <v>1848</v>
      </c>
      <c r="F522">
        <v>9</v>
      </c>
      <c r="G522" t="s">
        <v>1862</v>
      </c>
    </row>
    <row r="523" spans="1:7" x14ac:dyDescent="0.25">
      <c r="A523" s="69" t="s">
        <v>78</v>
      </c>
      <c r="B523" s="71">
        <v>43465</v>
      </c>
      <c r="C523">
        <v>44534</v>
      </c>
      <c r="D523" t="s">
        <v>1841</v>
      </c>
      <c r="E523" t="s">
        <v>1849</v>
      </c>
      <c r="F523">
        <v>12</v>
      </c>
      <c r="G523" t="s">
        <v>1863</v>
      </c>
    </row>
    <row r="524" spans="1:7" x14ac:dyDescent="0.25">
      <c r="A524" s="69" t="s">
        <v>78</v>
      </c>
      <c r="B524" s="71">
        <v>43555</v>
      </c>
      <c r="C524">
        <v>37259</v>
      </c>
      <c r="D524" t="s">
        <v>1842</v>
      </c>
      <c r="E524" t="s">
        <v>1846</v>
      </c>
      <c r="F524">
        <v>3</v>
      </c>
      <c r="G524" t="s">
        <v>1860</v>
      </c>
    </row>
    <row r="525" spans="1:7" x14ac:dyDescent="0.25">
      <c r="A525" s="69" t="s">
        <v>78</v>
      </c>
      <c r="B525" s="71">
        <v>43646</v>
      </c>
      <c r="C525">
        <v>47991</v>
      </c>
      <c r="D525" t="s">
        <v>1842</v>
      </c>
      <c r="E525" t="s">
        <v>1847</v>
      </c>
      <c r="F525">
        <v>6</v>
      </c>
      <c r="G525" t="s">
        <v>1861</v>
      </c>
    </row>
    <row r="526" spans="1:7" x14ac:dyDescent="0.25">
      <c r="A526" s="69" t="s">
        <v>78</v>
      </c>
      <c r="B526" s="71">
        <v>43738</v>
      </c>
      <c r="C526">
        <v>52862</v>
      </c>
      <c r="D526" t="s">
        <v>1842</v>
      </c>
      <c r="E526" t="s">
        <v>1848</v>
      </c>
      <c r="F526">
        <v>9</v>
      </c>
      <c r="G526" t="s">
        <v>1862</v>
      </c>
    </row>
    <row r="527" spans="1:7" x14ac:dyDescent="0.25">
      <c r="A527" s="69" t="s">
        <v>78</v>
      </c>
      <c r="B527" s="71">
        <v>43830</v>
      </c>
      <c r="C527">
        <v>45397</v>
      </c>
      <c r="D527" t="s">
        <v>1842</v>
      </c>
      <c r="E527" t="s">
        <v>1849</v>
      </c>
      <c r="F527">
        <v>12</v>
      </c>
      <c r="G527" t="s">
        <v>1863</v>
      </c>
    </row>
    <row r="528" spans="1:7" x14ac:dyDescent="0.25">
      <c r="A528" s="69" t="s">
        <v>78</v>
      </c>
      <c r="B528" s="71">
        <v>43921</v>
      </c>
      <c r="C528">
        <v>33728</v>
      </c>
      <c r="D528" t="s">
        <v>1843</v>
      </c>
      <c r="E528" t="s">
        <v>1846</v>
      </c>
      <c r="F528">
        <v>3</v>
      </c>
      <c r="G528" t="s">
        <v>1860</v>
      </c>
    </row>
    <row r="529" spans="1:7" x14ac:dyDescent="0.25">
      <c r="A529" s="69" t="s">
        <v>78</v>
      </c>
      <c r="B529" s="71">
        <v>44012</v>
      </c>
      <c r="C529">
        <v>15592</v>
      </c>
      <c r="D529" t="s">
        <v>1843</v>
      </c>
      <c r="E529" t="s">
        <v>1847</v>
      </c>
      <c r="F529">
        <v>6</v>
      </c>
      <c r="G529" t="s">
        <v>1861</v>
      </c>
    </row>
    <row r="530" spans="1:7" x14ac:dyDescent="0.25">
      <c r="A530" s="69" t="s">
        <v>78</v>
      </c>
      <c r="B530" s="71">
        <v>44104</v>
      </c>
      <c r="C530">
        <v>21589</v>
      </c>
      <c r="D530" t="s">
        <v>1843</v>
      </c>
      <c r="E530" t="s">
        <v>1848</v>
      </c>
      <c r="F530">
        <v>9</v>
      </c>
      <c r="G530" t="s">
        <v>1862</v>
      </c>
    </row>
    <row r="531" spans="1:7" x14ac:dyDescent="0.25">
      <c r="A531" s="69" t="s">
        <v>78</v>
      </c>
      <c r="B531" s="71">
        <v>44196</v>
      </c>
      <c r="C531">
        <v>18713</v>
      </c>
      <c r="D531" t="s">
        <v>1843</v>
      </c>
      <c r="E531" t="s">
        <v>1849</v>
      </c>
      <c r="F531">
        <v>12</v>
      </c>
      <c r="G531" t="s">
        <v>1863</v>
      </c>
    </row>
    <row r="532" spans="1:7" x14ac:dyDescent="0.25">
      <c r="A532" s="69" t="s">
        <v>78</v>
      </c>
      <c r="B532" s="71">
        <v>44286</v>
      </c>
      <c r="C532">
        <v>15407</v>
      </c>
      <c r="D532" t="s">
        <v>1844</v>
      </c>
      <c r="E532" t="s">
        <v>1846</v>
      </c>
      <c r="F532">
        <v>3</v>
      </c>
      <c r="G532" t="s">
        <v>1860</v>
      </c>
    </row>
    <row r="533" spans="1:7" x14ac:dyDescent="0.25">
      <c r="A533" s="69" t="s">
        <v>78</v>
      </c>
      <c r="B533" s="71">
        <v>44377</v>
      </c>
      <c r="C533">
        <v>17659</v>
      </c>
      <c r="D533" t="s">
        <v>1844</v>
      </c>
      <c r="E533" t="s">
        <v>1847</v>
      </c>
      <c r="F533">
        <v>6</v>
      </c>
      <c r="G533" t="s">
        <v>1861</v>
      </c>
    </row>
    <row r="534" spans="1:7" x14ac:dyDescent="0.25">
      <c r="A534" s="69" t="s">
        <v>78</v>
      </c>
      <c r="B534" s="71">
        <v>44469</v>
      </c>
      <c r="C534">
        <v>25712</v>
      </c>
      <c r="D534" t="s">
        <v>1844</v>
      </c>
      <c r="E534" t="s">
        <v>1848</v>
      </c>
      <c r="F534">
        <v>9</v>
      </c>
      <c r="G534" t="s">
        <v>1862</v>
      </c>
    </row>
    <row r="535" spans="1:7" x14ac:dyDescent="0.25">
      <c r="A535" s="69" t="s">
        <v>78</v>
      </c>
      <c r="B535" s="71">
        <v>44561</v>
      </c>
      <c r="C535">
        <v>29569</v>
      </c>
      <c r="D535" t="s">
        <v>1844</v>
      </c>
      <c r="E535" t="s">
        <v>1849</v>
      </c>
      <c r="F535">
        <v>12</v>
      </c>
      <c r="G535" t="s">
        <v>1863</v>
      </c>
    </row>
    <row r="536" spans="1:7" x14ac:dyDescent="0.25">
      <c r="A536" s="69" t="s">
        <v>78</v>
      </c>
      <c r="B536" s="71">
        <v>44651</v>
      </c>
      <c r="C536">
        <v>26669</v>
      </c>
      <c r="D536" t="s">
        <v>1845</v>
      </c>
      <c r="E536" t="s">
        <v>1846</v>
      </c>
      <c r="F536">
        <v>3</v>
      </c>
      <c r="G536" t="s">
        <v>1860</v>
      </c>
    </row>
    <row r="537" spans="1:7" x14ac:dyDescent="0.25">
      <c r="A537" s="69" t="s">
        <v>78</v>
      </c>
      <c r="B537" s="71">
        <v>44742</v>
      </c>
      <c r="C537">
        <v>37701</v>
      </c>
      <c r="D537" t="s">
        <v>1845</v>
      </c>
      <c r="E537" t="s">
        <v>1847</v>
      </c>
      <c r="F537">
        <v>6</v>
      </c>
      <c r="G537" t="s">
        <v>1861</v>
      </c>
    </row>
    <row r="538" spans="1:7" x14ac:dyDescent="0.25">
      <c r="A538" s="69" t="s">
        <v>78</v>
      </c>
      <c r="B538" s="71">
        <v>44834</v>
      </c>
      <c r="C538">
        <v>47668</v>
      </c>
      <c r="D538" t="s">
        <v>1845</v>
      </c>
      <c r="E538" t="s">
        <v>1848</v>
      </c>
      <c r="F538">
        <v>9</v>
      </c>
      <c r="G538" t="s">
        <v>1862</v>
      </c>
    </row>
    <row r="539" spans="1:7" x14ac:dyDescent="0.25">
      <c r="A539" s="69" t="s">
        <v>78</v>
      </c>
      <c r="B539" s="71">
        <v>44926</v>
      </c>
      <c r="C539">
        <v>40161</v>
      </c>
      <c r="D539" t="s">
        <v>1845</v>
      </c>
      <c r="E539" t="s">
        <v>1849</v>
      </c>
      <c r="F539">
        <v>12</v>
      </c>
      <c r="G539" t="s">
        <v>1863</v>
      </c>
    </row>
    <row r="540" spans="1:7" x14ac:dyDescent="0.25">
      <c r="A540" s="69" t="s">
        <v>79</v>
      </c>
      <c r="B540" s="71">
        <v>42460</v>
      </c>
      <c r="C540">
        <v>-19808</v>
      </c>
      <c r="D540" t="s">
        <v>1839</v>
      </c>
      <c r="E540" t="s">
        <v>1846</v>
      </c>
      <c r="F540">
        <v>3</v>
      </c>
      <c r="G540" t="s">
        <v>1860</v>
      </c>
    </row>
    <row r="541" spans="1:7" x14ac:dyDescent="0.25">
      <c r="A541" s="69" t="s">
        <v>79</v>
      </c>
      <c r="B541" s="71">
        <v>42551</v>
      </c>
      <c r="C541">
        <v>-23232</v>
      </c>
      <c r="D541" t="s">
        <v>1839</v>
      </c>
      <c r="E541" t="s">
        <v>1847</v>
      </c>
      <c r="F541">
        <v>6</v>
      </c>
      <c r="G541" t="s">
        <v>1861</v>
      </c>
    </row>
    <row r="542" spans="1:7" x14ac:dyDescent="0.25">
      <c r="A542" s="69" t="s">
        <v>79</v>
      </c>
      <c r="B542" s="71">
        <v>42643</v>
      </c>
      <c r="C542">
        <v>-25183</v>
      </c>
      <c r="D542" t="s">
        <v>1839</v>
      </c>
      <c r="E542" t="s">
        <v>1848</v>
      </c>
      <c r="F542">
        <v>9</v>
      </c>
      <c r="G542" t="s">
        <v>1862</v>
      </c>
    </row>
    <row r="543" spans="1:7" x14ac:dyDescent="0.25">
      <c r="A543" s="69" t="s">
        <v>79</v>
      </c>
      <c r="B543" s="71">
        <v>42735</v>
      </c>
      <c r="C543">
        <v>-24445</v>
      </c>
      <c r="D543" t="s">
        <v>1839</v>
      </c>
      <c r="E543" t="s">
        <v>1849</v>
      </c>
      <c r="F543">
        <v>12</v>
      </c>
      <c r="G543" t="s">
        <v>1863</v>
      </c>
    </row>
    <row r="544" spans="1:7" x14ac:dyDescent="0.25">
      <c r="A544" s="69" t="s">
        <v>79</v>
      </c>
      <c r="B544" s="71">
        <v>42825</v>
      </c>
      <c r="C544">
        <v>-22371</v>
      </c>
      <c r="D544" t="s">
        <v>1840</v>
      </c>
      <c r="E544" t="s">
        <v>1846</v>
      </c>
      <c r="F544">
        <v>3</v>
      </c>
      <c r="G544" t="s">
        <v>1860</v>
      </c>
    </row>
    <row r="545" spans="1:7" x14ac:dyDescent="0.25">
      <c r="A545" s="69" t="s">
        <v>79</v>
      </c>
      <c r="B545" s="71">
        <v>42916</v>
      </c>
      <c r="C545">
        <v>-23893</v>
      </c>
      <c r="D545" t="s">
        <v>1840</v>
      </c>
      <c r="E545" t="s">
        <v>1847</v>
      </c>
      <c r="F545">
        <v>6</v>
      </c>
      <c r="G545" t="s">
        <v>1861</v>
      </c>
    </row>
    <row r="546" spans="1:7" x14ac:dyDescent="0.25">
      <c r="A546" s="69" t="s">
        <v>79</v>
      </c>
      <c r="B546" s="71">
        <v>43008</v>
      </c>
      <c r="C546">
        <v>-26568</v>
      </c>
      <c r="D546" t="s">
        <v>1840</v>
      </c>
      <c r="E546" t="s">
        <v>1848</v>
      </c>
      <c r="F546">
        <v>9</v>
      </c>
      <c r="G546" t="s">
        <v>1862</v>
      </c>
    </row>
    <row r="547" spans="1:7" x14ac:dyDescent="0.25">
      <c r="A547" s="69" t="s">
        <v>79</v>
      </c>
      <c r="B547" s="71">
        <v>43100</v>
      </c>
      <c r="C547">
        <v>-26365</v>
      </c>
      <c r="D547" t="s">
        <v>1840</v>
      </c>
      <c r="E547" t="s">
        <v>1849</v>
      </c>
      <c r="F547">
        <v>12</v>
      </c>
      <c r="G547" t="s">
        <v>1863</v>
      </c>
    </row>
    <row r="548" spans="1:7" x14ac:dyDescent="0.25">
      <c r="A548" s="69" t="s">
        <v>79</v>
      </c>
      <c r="B548" s="71">
        <v>43190</v>
      </c>
      <c r="C548">
        <v>-24351</v>
      </c>
      <c r="D548" t="s">
        <v>1841</v>
      </c>
      <c r="E548" t="s">
        <v>1846</v>
      </c>
      <c r="F548">
        <v>3</v>
      </c>
      <c r="G548" t="s">
        <v>1860</v>
      </c>
    </row>
    <row r="549" spans="1:7" x14ac:dyDescent="0.25">
      <c r="A549" s="69" t="s">
        <v>79</v>
      </c>
      <c r="B549" s="71">
        <v>43281</v>
      </c>
      <c r="C549">
        <v>-27486</v>
      </c>
      <c r="D549" t="s">
        <v>1841</v>
      </c>
      <c r="E549" t="s">
        <v>1847</v>
      </c>
      <c r="F549">
        <v>6</v>
      </c>
      <c r="G549" t="s">
        <v>1861</v>
      </c>
    </row>
    <row r="550" spans="1:7" x14ac:dyDescent="0.25">
      <c r="A550" s="69" t="s">
        <v>79</v>
      </c>
      <c r="B550" s="71">
        <v>43373</v>
      </c>
      <c r="C550">
        <v>-29906</v>
      </c>
      <c r="D550" t="s">
        <v>1841</v>
      </c>
      <c r="E550" t="s">
        <v>1848</v>
      </c>
      <c r="F550">
        <v>9</v>
      </c>
      <c r="G550" t="s">
        <v>1862</v>
      </c>
    </row>
    <row r="551" spans="1:7" x14ac:dyDescent="0.25">
      <c r="A551" s="69" t="s">
        <v>79</v>
      </c>
      <c r="B551" s="71">
        <v>43465</v>
      </c>
      <c r="C551">
        <v>-29928</v>
      </c>
      <c r="D551" t="s">
        <v>1841</v>
      </c>
      <c r="E551" t="s">
        <v>1849</v>
      </c>
      <c r="F551">
        <v>12</v>
      </c>
      <c r="G551" t="s">
        <v>1863</v>
      </c>
    </row>
    <row r="552" spans="1:7" x14ac:dyDescent="0.25">
      <c r="A552" s="69" t="s">
        <v>79</v>
      </c>
      <c r="B552" s="71">
        <v>43555</v>
      </c>
      <c r="C552">
        <v>-27217</v>
      </c>
      <c r="D552" t="s">
        <v>1842</v>
      </c>
      <c r="E552" t="s">
        <v>1846</v>
      </c>
      <c r="F552">
        <v>3</v>
      </c>
      <c r="G552" t="s">
        <v>1860</v>
      </c>
    </row>
    <row r="553" spans="1:7" x14ac:dyDescent="0.25">
      <c r="A553" s="69" t="s">
        <v>79</v>
      </c>
      <c r="B553" s="71">
        <v>43646</v>
      </c>
      <c r="C553">
        <v>-30562</v>
      </c>
      <c r="D553" t="s">
        <v>1842</v>
      </c>
      <c r="E553" t="s">
        <v>1847</v>
      </c>
      <c r="F553">
        <v>6</v>
      </c>
      <c r="G553" t="s">
        <v>1861</v>
      </c>
    </row>
    <row r="554" spans="1:7" x14ac:dyDescent="0.25">
      <c r="A554" s="69" t="s">
        <v>79</v>
      </c>
      <c r="B554" s="71">
        <v>43738</v>
      </c>
      <c r="C554">
        <v>-32781</v>
      </c>
      <c r="D554" t="s">
        <v>1842</v>
      </c>
      <c r="E554" t="s">
        <v>1848</v>
      </c>
      <c r="F554">
        <v>9</v>
      </c>
      <c r="G554" t="s">
        <v>1862</v>
      </c>
    </row>
    <row r="555" spans="1:7" x14ac:dyDescent="0.25">
      <c r="A555" s="69" t="s">
        <v>79</v>
      </c>
      <c r="B555" s="71">
        <v>43830</v>
      </c>
      <c r="C555">
        <v>-30829</v>
      </c>
      <c r="D555" t="s">
        <v>1842</v>
      </c>
      <c r="E555" t="s">
        <v>1849</v>
      </c>
      <c r="F555">
        <v>12</v>
      </c>
      <c r="G555" t="s">
        <v>1863</v>
      </c>
    </row>
    <row r="556" spans="1:7" x14ac:dyDescent="0.25">
      <c r="A556" s="69" t="s">
        <v>79</v>
      </c>
      <c r="B556" s="71">
        <v>43921</v>
      </c>
      <c r="C556">
        <v>-31059</v>
      </c>
      <c r="D556" t="s">
        <v>1843</v>
      </c>
      <c r="E556" t="s">
        <v>1846</v>
      </c>
      <c r="F556">
        <v>3</v>
      </c>
      <c r="G556" t="s">
        <v>1860</v>
      </c>
    </row>
    <row r="557" spans="1:7" x14ac:dyDescent="0.25">
      <c r="A557" s="69" t="s">
        <v>79</v>
      </c>
      <c r="B557" s="71">
        <v>44012</v>
      </c>
      <c r="C557">
        <v>-13523</v>
      </c>
      <c r="D557" t="s">
        <v>1843</v>
      </c>
      <c r="E557" t="s">
        <v>1847</v>
      </c>
      <c r="F557">
        <v>6</v>
      </c>
      <c r="G557" t="s">
        <v>1861</v>
      </c>
    </row>
    <row r="558" spans="1:7" x14ac:dyDescent="0.25">
      <c r="A558" s="69" t="s">
        <v>79</v>
      </c>
      <c r="B558" s="71">
        <v>44104</v>
      </c>
      <c r="C558">
        <v>-20393</v>
      </c>
      <c r="D558" t="s">
        <v>1843</v>
      </c>
      <c r="E558" t="s">
        <v>1848</v>
      </c>
      <c r="F558">
        <v>9</v>
      </c>
      <c r="G558" t="s">
        <v>1862</v>
      </c>
    </row>
    <row r="559" spans="1:7" x14ac:dyDescent="0.25">
      <c r="A559" s="69" t="s">
        <v>79</v>
      </c>
      <c r="B559" s="71">
        <v>44196</v>
      </c>
      <c r="C559">
        <v>-19295</v>
      </c>
      <c r="D559" t="s">
        <v>1843</v>
      </c>
      <c r="E559" t="s">
        <v>1849</v>
      </c>
      <c r="F559">
        <v>12</v>
      </c>
      <c r="G559" t="s">
        <v>1863</v>
      </c>
    </row>
    <row r="560" spans="1:7" x14ac:dyDescent="0.25">
      <c r="A560" s="69" t="s">
        <v>79</v>
      </c>
      <c r="B560" s="71">
        <v>44286</v>
      </c>
      <c r="C560">
        <v>-16809</v>
      </c>
      <c r="D560" t="s">
        <v>1844</v>
      </c>
      <c r="E560" t="s">
        <v>1846</v>
      </c>
      <c r="F560">
        <v>3</v>
      </c>
      <c r="G560" t="s">
        <v>1860</v>
      </c>
    </row>
    <row r="561" spans="1:7" x14ac:dyDescent="0.25">
      <c r="A561" s="69" t="s">
        <v>79</v>
      </c>
      <c r="B561" s="71">
        <v>44377</v>
      </c>
      <c r="C561">
        <v>-18128</v>
      </c>
      <c r="D561" t="s">
        <v>1844</v>
      </c>
      <c r="E561" t="s">
        <v>1847</v>
      </c>
      <c r="F561">
        <v>6</v>
      </c>
      <c r="G561" t="s">
        <v>1861</v>
      </c>
    </row>
    <row r="562" spans="1:7" x14ac:dyDescent="0.25">
      <c r="A562" s="69" t="s">
        <v>79</v>
      </c>
      <c r="B562" s="71">
        <v>44469</v>
      </c>
      <c r="C562">
        <v>-20461</v>
      </c>
      <c r="D562" t="s">
        <v>1844</v>
      </c>
      <c r="E562" t="s">
        <v>1848</v>
      </c>
      <c r="F562">
        <v>9</v>
      </c>
      <c r="G562" t="s">
        <v>1862</v>
      </c>
    </row>
    <row r="563" spans="1:7" x14ac:dyDescent="0.25">
      <c r="A563" s="69" t="s">
        <v>79</v>
      </c>
      <c r="B563" s="71">
        <v>44561</v>
      </c>
      <c r="C563">
        <v>-22703</v>
      </c>
      <c r="D563" t="s">
        <v>1844</v>
      </c>
      <c r="E563" t="s">
        <v>1849</v>
      </c>
      <c r="F563">
        <v>12</v>
      </c>
      <c r="G563" t="s">
        <v>1863</v>
      </c>
    </row>
    <row r="564" spans="1:7" x14ac:dyDescent="0.25">
      <c r="A564" s="69" t="s">
        <v>79</v>
      </c>
      <c r="B564" s="71">
        <v>44651</v>
      </c>
      <c r="C564">
        <v>-22466</v>
      </c>
      <c r="D564" t="s">
        <v>1845</v>
      </c>
      <c r="E564" t="s">
        <v>1846</v>
      </c>
      <c r="F564">
        <v>3</v>
      </c>
      <c r="G564" t="s">
        <v>1860</v>
      </c>
    </row>
    <row r="565" spans="1:7" x14ac:dyDescent="0.25">
      <c r="A565" s="69" t="s">
        <v>79</v>
      </c>
      <c r="B565" s="71">
        <v>44742</v>
      </c>
      <c r="C565">
        <v>-26699</v>
      </c>
      <c r="D565" t="s">
        <v>1845</v>
      </c>
      <c r="E565" t="s">
        <v>1847</v>
      </c>
      <c r="F565">
        <v>6</v>
      </c>
      <c r="G565" t="s">
        <v>1861</v>
      </c>
    </row>
    <row r="566" spans="1:7" x14ac:dyDescent="0.25">
      <c r="A566" s="69" t="s">
        <v>79</v>
      </c>
      <c r="B566" s="71">
        <v>44834</v>
      </c>
      <c r="C566">
        <v>-29514</v>
      </c>
      <c r="D566" t="s">
        <v>1845</v>
      </c>
      <c r="E566" t="s">
        <v>1848</v>
      </c>
      <c r="F566">
        <v>9</v>
      </c>
      <c r="G566" t="s">
        <v>1862</v>
      </c>
    </row>
    <row r="567" spans="1:7" x14ac:dyDescent="0.25">
      <c r="A567" s="69" t="s">
        <v>79</v>
      </c>
      <c r="B567" s="71">
        <v>44926</v>
      </c>
      <c r="C567">
        <v>-29420</v>
      </c>
      <c r="D567" t="s">
        <v>1845</v>
      </c>
      <c r="E567" t="s">
        <v>1849</v>
      </c>
      <c r="F567">
        <v>12</v>
      </c>
      <c r="G567" t="s">
        <v>1863</v>
      </c>
    </row>
    <row r="568" spans="1:7" x14ac:dyDescent="0.25">
      <c r="A568" s="69" t="s">
        <v>1724</v>
      </c>
      <c r="B568" s="71">
        <v>42460</v>
      </c>
      <c r="C568">
        <v>-1611</v>
      </c>
      <c r="D568" t="s">
        <v>1839</v>
      </c>
      <c r="E568" t="s">
        <v>1846</v>
      </c>
      <c r="F568">
        <v>3</v>
      </c>
      <c r="G568" t="s">
        <v>1860</v>
      </c>
    </row>
    <row r="569" spans="1:7" x14ac:dyDescent="0.25">
      <c r="A569" s="69" t="s">
        <v>1724</v>
      </c>
      <c r="B569" s="71">
        <v>42551</v>
      </c>
      <c r="C569">
        <v>-1587</v>
      </c>
      <c r="D569" t="s">
        <v>1839</v>
      </c>
      <c r="E569" t="s">
        <v>1847</v>
      </c>
      <c r="F569">
        <v>6</v>
      </c>
      <c r="G569" t="s">
        <v>1861</v>
      </c>
    </row>
    <row r="570" spans="1:7" x14ac:dyDescent="0.25">
      <c r="A570" s="69" t="s">
        <v>1724</v>
      </c>
      <c r="B570" s="71">
        <v>42643</v>
      </c>
      <c r="C570">
        <v>-1432</v>
      </c>
      <c r="D570" t="s">
        <v>1839</v>
      </c>
      <c r="E570" t="s">
        <v>1848</v>
      </c>
      <c r="F570">
        <v>9</v>
      </c>
      <c r="G570" t="s">
        <v>1862</v>
      </c>
    </row>
    <row r="571" spans="1:7" x14ac:dyDescent="0.25">
      <c r="A571" s="69" t="s">
        <v>1724</v>
      </c>
      <c r="B571" s="71">
        <v>42735</v>
      </c>
      <c r="C571">
        <v>-1354</v>
      </c>
      <c r="D571" t="s">
        <v>1839</v>
      </c>
      <c r="E571" t="s">
        <v>1849</v>
      </c>
      <c r="F571">
        <v>12</v>
      </c>
      <c r="G571" t="s">
        <v>1863</v>
      </c>
    </row>
    <row r="572" spans="1:7" x14ac:dyDescent="0.25">
      <c r="A572" s="69" t="s">
        <v>1724</v>
      </c>
      <c r="B572" s="71">
        <v>42825</v>
      </c>
      <c r="C572">
        <v>-1820</v>
      </c>
      <c r="D572" t="s">
        <v>1840</v>
      </c>
      <c r="E572" t="s">
        <v>1846</v>
      </c>
      <c r="F572">
        <v>3</v>
      </c>
      <c r="G572" t="s">
        <v>1860</v>
      </c>
    </row>
    <row r="573" spans="1:7" x14ac:dyDescent="0.25">
      <c r="A573" s="69" t="s">
        <v>1724</v>
      </c>
      <c r="B573" s="71">
        <v>42916</v>
      </c>
      <c r="C573">
        <v>-1856</v>
      </c>
      <c r="D573" t="s">
        <v>1840</v>
      </c>
      <c r="E573" t="s">
        <v>1847</v>
      </c>
      <c r="F573">
        <v>6</v>
      </c>
      <c r="G573" t="s">
        <v>1861</v>
      </c>
    </row>
    <row r="574" spans="1:7" x14ac:dyDescent="0.25">
      <c r="A574" s="69" t="s">
        <v>1724</v>
      </c>
      <c r="B574" s="71">
        <v>43008</v>
      </c>
      <c r="C574">
        <v>-1547</v>
      </c>
      <c r="D574" t="s">
        <v>1840</v>
      </c>
      <c r="E574" t="s">
        <v>1848</v>
      </c>
      <c r="F574">
        <v>9</v>
      </c>
      <c r="G574" t="s">
        <v>1862</v>
      </c>
    </row>
    <row r="575" spans="1:7" x14ac:dyDescent="0.25">
      <c r="A575" s="69" t="s">
        <v>1724</v>
      </c>
      <c r="B575" s="71">
        <v>43100</v>
      </c>
      <c r="C575">
        <v>-1967</v>
      </c>
      <c r="D575" t="s">
        <v>1840</v>
      </c>
      <c r="E575" t="s">
        <v>1849</v>
      </c>
      <c r="F575">
        <v>12</v>
      </c>
      <c r="G575" t="s">
        <v>1863</v>
      </c>
    </row>
    <row r="576" spans="1:7" x14ac:dyDescent="0.25">
      <c r="A576" s="69" t="s">
        <v>1724</v>
      </c>
      <c r="B576" s="71">
        <v>43190</v>
      </c>
      <c r="C576">
        <v>-2335</v>
      </c>
      <c r="D576" t="s">
        <v>1841</v>
      </c>
      <c r="E576" t="s">
        <v>1846</v>
      </c>
      <c r="F576">
        <v>3</v>
      </c>
      <c r="G576" t="s">
        <v>1860</v>
      </c>
    </row>
    <row r="577" spans="1:7" x14ac:dyDescent="0.25">
      <c r="A577" s="69" t="s">
        <v>1724</v>
      </c>
      <c r="B577" s="71">
        <v>43281</v>
      </c>
      <c r="C577">
        <v>-2294</v>
      </c>
      <c r="D577" t="s">
        <v>1841</v>
      </c>
      <c r="E577" t="s">
        <v>1847</v>
      </c>
      <c r="F577">
        <v>6</v>
      </c>
      <c r="G577" t="s">
        <v>1861</v>
      </c>
    </row>
    <row r="578" spans="1:7" x14ac:dyDescent="0.25">
      <c r="A578" s="69" t="s">
        <v>1724</v>
      </c>
      <c r="B578" s="71">
        <v>43373</v>
      </c>
      <c r="C578">
        <v>-2151</v>
      </c>
      <c r="D578" t="s">
        <v>1841</v>
      </c>
      <c r="E578" t="s">
        <v>1848</v>
      </c>
      <c r="F578">
        <v>9</v>
      </c>
      <c r="G578" t="s">
        <v>1862</v>
      </c>
    </row>
    <row r="579" spans="1:7" x14ac:dyDescent="0.25">
      <c r="A579" s="69" t="s">
        <v>1724</v>
      </c>
      <c r="B579" s="71">
        <v>43465</v>
      </c>
      <c r="C579">
        <v>-1795</v>
      </c>
      <c r="D579" t="s">
        <v>1841</v>
      </c>
      <c r="E579" t="s">
        <v>1849</v>
      </c>
      <c r="F579">
        <v>12</v>
      </c>
      <c r="G579" t="s">
        <v>1863</v>
      </c>
    </row>
    <row r="580" spans="1:7" x14ac:dyDescent="0.25">
      <c r="A580" s="69" t="s">
        <v>1724</v>
      </c>
      <c r="B580" s="71">
        <v>43555</v>
      </c>
      <c r="C580">
        <v>-2582</v>
      </c>
      <c r="D580" t="s">
        <v>1842</v>
      </c>
      <c r="E580" t="s">
        <v>1846</v>
      </c>
      <c r="F580">
        <v>3</v>
      </c>
      <c r="G580" t="s">
        <v>1860</v>
      </c>
    </row>
    <row r="581" spans="1:7" x14ac:dyDescent="0.25">
      <c r="A581" s="69" t="s">
        <v>1724</v>
      </c>
      <c r="B581" s="71">
        <v>43646</v>
      </c>
      <c r="C581">
        <v>-2127</v>
      </c>
      <c r="D581" t="s">
        <v>1842</v>
      </c>
      <c r="E581" t="s">
        <v>1847</v>
      </c>
      <c r="F581">
        <v>6</v>
      </c>
      <c r="G581" t="s">
        <v>1861</v>
      </c>
    </row>
    <row r="582" spans="1:7" x14ac:dyDescent="0.25">
      <c r="A582" s="69" t="s">
        <v>1724</v>
      </c>
      <c r="B582" s="71">
        <v>43738</v>
      </c>
      <c r="C582">
        <v>-1892</v>
      </c>
      <c r="D582" t="s">
        <v>1842</v>
      </c>
      <c r="E582" t="s">
        <v>1848</v>
      </c>
      <c r="F582">
        <v>9</v>
      </c>
      <c r="G582" t="s">
        <v>1862</v>
      </c>
    </row>
    <row r="583" spans="1:7" x14ac:dyDescent="0.25">
      <c r="A583" s="69" t="s">
        <v>1724</v>
      </c>
      <c r="B583" s="71">
        <v>43830</v>
      </c>
      <c r="C583">
        <v>-3534</v>
      </c>
      <c r="D583" t="s">
        <v>1842</v>
      </c>
      <c r="E583" t="s">
        <v>1849</v>
      </c>
      <c r="F583">
        <v>12</v>
      </c>
      <c r="G583" t="s">
        <v>1863</v>
      </c>
    </row>
    <row r="584" spans="1:7" x14ac:dyDescent="0.25">
      <c r="A584" s="69" t="s">
        <v>1724</v>
      </c>
      <c r="B584" s="71">
        <v>43921</v>
      </c>
      <c r="C584">
        <v>-2462</v>
      </c>
      <c r="D584" t="s">
        <v>1843</v>
      </c>
      <c r="E584" t="s">
        <v>1846</v>
      </c>
      <c r="F584">
        <v>3</v>
      </c>
      <c r="G584" t="s">
        <v>1860</v>
      </c>
    </row>
    <row r="585" spans="1:7" x14ac:dyDescent="0.25">
      <c r="A585" s="69" t="s">
        <v>1724</v>
      </c>
      <c r="B585" s="71">
        <v>44012</v>
      </c>
      <c r="C585">
        <v>-451</v>
      </c>
      <c r="D585" t="s">
        <v>1843</v>
      </c>
      <c r="E585" t="s">
        <v>1847</v>
      </c>
      <c r="F585">
        <v>6</v>
      </c>
      <c r="G585" t="s">
        <v>1861</v>
      </c>
    </row>
    <row r="586" spans="1:7" x14ac:dyDescent="0.25">
      <c r="A586" s="69" t="s">
        <v>1724</v>
      </c>
      <c r="B586" s="71">
        <v>44104</v>
      </c>
      <c r="C586">
        <v>-1389</v>
      </c>
      <c r="D586" t="s">
        <v>1843</v>
      </c>
      <c r="E586" t="s">
        <v>1848</v>
      </c>
      <c r="F586">
        <v>9</v>
      </c>
      <c r="G586" t="s">
        <v>1862</v>
      </c>
    </row>
    <row r="587" spans="1:7" x14ac:dyDescent="0.25">
      <c r="A587" s="69" t="s">
        <v>1724</v>
      </c>
      <c r="B587" s="71">
        <v>44196</v>
      </c>
      <c r="C587">
        <v>-1162</v>
      </c>
      <c r="D587" t="s">
        <v>1843</v>
      </c>
      <c r="E587" t="s">
        <v>1849</v>
      </c>
      <c r="F587">
        <v>12</v>
      </c>
      <c r="G587" t="s">
        <v>1863</v>
      </c>
    </row>
    <row r="588" spans="1:7" x14ac:dyDescent="0.25">
      <c r="A588" s="69" t="s">
        <v>1724</v>
      </c>
      <c r="B588" s="71">
        <v>44286</v>
      </c>
      <c r="C588">
        <v>-1050</v>
      </c>
      <c r="D588" t="s">
        <v>1844</v>
      </c>
      <c r="E588" t="s">
        <v>1846</v>
      </c>
      <c r="F588">
        <v>3</v>
      </c>
      <c r="G588" t="s">
        <v>1860</v>
      </c>
    </row>
    <row r="589" spans="1:7" x14ac:dyDescent="0.25">
      <c r="A589" s="69" t="s">
        <v>1724</v>
      </c>
      <c r="B589" s="71">
        <v>44377</v>
      </c>
      <c r="C589">
        <v>-1252</v>
      </c>
      <c r="D589" t="s">
        <v>1844</v>
      </c>
      <c r="E589" t="s">
        <v>1847</v>
      </c>
      <c r="F589">
        <v>6</v>
      </c>
      <c r="G589" t="s">
        <v>1861</v>
      </c>
    </row>
    <row r="590" spans="1:7" x14ac:dyDescent="0.25">
      <c r="A590" s="69" t="s">
        <v>1724</v>
      </c>
      <c r="B590" s="71">
        <v>44469</v>
      </c>
      <c r="C590">
        <v>-1173</v>
      </c>
      <c r="D590" t="s">
        <v>1844</v>
      </c>
      <c r="E590" t="s">
        <v>1848</v>
      </c>
      <c r="F590">
        <v>9</v>
      </c>
      <c r="G590" t="s">
        <v>1862</v>
      </c>
    </row>
    <row r="591" spans="1:7" x14ac:dyDescent="0.25">
      <c r="A591" s="69" t="s">
        <v>1724</v>
      </c>
      <c r="B591" s="71">
        <v>44561</v>
      </c>
      <c r="C591">
        <v>-1144</v>
      </c>
      <c r="D591" t="s">
        <v>1844</v>
      </c>
      <c r="E591" t="s">
        <v>1849</v>
      </c>
      <c r="F591">
        <v>12</v>
      </c>
      <c r="G591" t="s">
        <v>1863</v>
      </c>
    </row>
    <row r="592" spans="1:7" x14ac:dyDescent="0.25">
      <c r="A592" s="69" t="s">
        <v>1724</v>
      </c>
      <c r="B592" s="71">
        <v>44651</v>
      </c>
      <c r="C592">
        <v>-1190</v>
      </c>
      <c r="D592" t="s">
        <v>1845</v>
      </c>
      <c r="E592" t="s">
        <v>1846</v>
      </c>
      <c r="F592">
        <v>3</v>
      </c>
      <c r="G592" t="s">
        <v>1860</v>
      </c>
    </row>
    <row r="593" spans="1:7" x14ac:dyDescent="0.25">
      <c r="A593" s="69" t="s">
        <v>1724</v>
      </c>
      <c r="B593" s="71">
        <v>44742</v>
      </c>
      <c r="C593">
        <v>-1298</v>
      </c>
      <c r="D593" t="s">
        <v>1845</v>
      </c>
      <c r="E593" t="s">
        <v>1847</v>
      </c>
      <c r="F593">
        <v>6</v>
      </c>
      <c r="G593" t="s">
        <v>1861</v>
      </c>
    </row>
    <row r="594" spans="1:7" x14ac:dyDescent="0.25">
      <c r="A594" s="69" t="s">
        <v>1724</v>
      </c>
      <c r="B594" s="71">
        <v>44834</v>
      </c>
      <c r="C594">
        <v>-1945</v>
      </c>
      <c r="D594" t="s">
        <v>1845</v>
      </c>
      <c r="E594" t="s">
        <v>1848</v>
      </c>
      <c r="F594">
        <v>9</v>
      </c>
      <c r="G594" t="s">
        <v>1862</v>
      </c>
    </row>
    <row r="595" spans="1:7" x14ac:dyDescent="0.25">
      <c r="A595" s="69" t="s">
        <v>1724</v>
      </c>
      <c r="B595" s="71">
        <v>44926</v>
      </c>
      <c r="C595">
        <v>-1882</v>
      </c>
      <c r="D595" t="s">
        <v>1845</v>
      </c>
      <c r="E595" t="s">
        <v>1849</v>
      </c>
      <c r="F595">
        <v>12</v>
      </c>
      <c r="G595" t="s">
        <v>1863</v>
      </c>
    </row>
    <row r="596" spans="1:7" x14ac:dyDescent="0.25">
      <c r="A596" s="69" t="s">
        <v>1725</v>
      </c>
      <c r="B596" s="71">
        <v>42460</v>
      </c>
      <c r="C596">
        <v>-7758</v>
      </c>
      <c r="D596" t="s">
        <v>1839</v>
      </c>
      <c r="E596" t="s">
        <v>1846</v>
      </c>
      <c r="F596">
        <v>3</v>
      </c>
      <c r="G596" t="s">
        <v>1860</v>
      </c>
    </row>
    <row r="597" spans="1:7" x14ac:dyDescent="0.25">
      <c r="A597" s="69" t="s">
        <v>1725</v>
      </c>
      <c r="B597" s="71">
        <v>42551</v>
      </c>
      <c r="C597">
        <v>-9526</v>
      </c>
      <c r="D597" t="s">
        <v>1839</v>
      </c>
      <c r="E597" t="s">
        <v>1847</v>
      </c>
      <c r="F597">
        <v>6</v>
      </c>
      <c r="G597" t="s">
        <v>1861</v>
      </c>
    </row>
    <row r="598" spans="1:7" x14ac:dyDescent="0.25">
      <c r="A598" s="69" t="s">
        <v>1725</v>
      </c>
      <c r="B598" s="71">
        <v>42643</v>
      </c>
      <c r="C598">
        <v>-8696</v>
      </c>
      <c r="D598" t="s">
        <v>1839</v>
      </c>
      <c r="E598" t="s">
        <v>1848</v>
      </c>
      <c r="F598">
        <v>9</v>
      </c>
      <c r="G598" t="s">
        <v>1862</v>
      </c>
    </row>
    <row r="599" spans="1:7" x14ac:dyDescent="0.25">
      <c r="A599" s="69" t="s">
        <v>1725</v>
      </c>
      <c r="B599" s="71">
        <v>42735</v>
      </c>
      <c r="C599">
        <v>-8342</v>
      </c>
      <c r="D599" t="s">
        <v>1839</v>
      </c>
      <c r="E599" t="s">
        <v>1849</v>
      </c>
      <c r="F599">
        <v>12</v>
      </c>
      <c r="G599" t="s">
        <v>1863</v>
      </c>
    </row>
    <row r="600" spans="1:7" x14ac:dyDescent="0.25">
      <c r="A600" s="69" t="s">
        <v>1725</v>
      </c>
      <c r="B600" s="71">
        <v>42825</v>
      </c>
      <c r="C600">
        <v>-9017</v>
      </c>
      <c r="D600" t="s">
        <v>1840</v>
      </c>
      <c r="E600" t="s">
        <v>1846</v>
      </c>
      <c r="F600">
        <v>3</v>
      </c>
      <c r="G600" t="s">
        <v>1860</v>
      </c>
    </row>
    <row r="601" spans="1:7" x14ac:dyDescent="0.25">
      <c r="A601" s="69" t="s">
        <v>1725</v>
      </c>
      <c r="B601" s="71">
        <v>42916</v>
      </c>
      <c r="C601">
        <v>-8585</v>
      </c>
      <c r="D601" t="s">
        <v>1840</v>
      </c>
      <c r="E601" t="s">
        <v>1847</v>
      </c>
      <c r="F601">
        <v>6</v>
      </c>
      <c r="G601" t="s">
        <v>1861</v>
      </c>
    </row>
    <row r="602" spans="1:7" x14ac:dyDescent="0.25">
      <c r="A602" s="69" t="s">
        <v>1725</v>
      </c>
      <c r="B602" s="71">
        <v>43008</v>
      </c>
      <c r="C602">
        <v>-9116</v>
      </c>
      <c r="D602" t="s">
        <v>1840</v>
      </c>
      <c r="E602" t="s">
        <v>1848</v>
      </c>
      <c r="F602">
        <v>9</v>
      </c>
      <c r="G602" t="s">
        <v>1862</v>
      </c>
    </row>
    <row r="603" spans="1:7" x14ac:dyDescent="0.25">
      <c r="A603" s="69" t="s">
        <v>1725</v>
      </c>
      <c r="B603" s="71">
        <v>43100</v>
      </c>
      <c r="C603">
        <v>-10451</v>
      </c>
      <c r="D603" t="s">
        <v>1840</v>
      </c>
      <c r="E603" t="s">
        <v>1849</v>
      </c>
      <c r="F603">
        <v>12</v>
      </c>
      <c r="G603" t="s">
        <v>1863</v>
      </c>
    </row>
    <row r="604" spans="1:7" x14ac:dyDescent="0.25">
      <c r="A604" s="69" t="s">
        <v>1725</v>
      </c>
      <c r="B604" s="71">
        <v>43190</v>
      </c>
      <c r="C604">
        <v>-10339</v>
      </c>
      <c r="D604" t="s">
        <v>1841</v>
      </c>
      <c r="E604" t="s">
        <v>1846</v>
      </c>
      <c r="F604">
        <v>3</v>
      </c>
      <c r="G604" t="s">
        <v>1860</v>
      </c>
    </row>
    <row r="605" spans="1:7" x14ac:dyDescent="0.25">
      <c r="A605" s="69" t="s">
        <v>1725</v>
      </c>
      <c r="B605" s="71">
        <v>43281</v>
      </c>
      <c r="C605">
        <v>-9508</v>
      </c>
      <c r="D605" t="s">
        <v>1841</v>
      </c>
      <c r="E605" t="s">
        <v>1847</v>
      </c>
      <c r="F605">
        <v>6</v>
      </c>
      <c r="G605" t="s">
        <v>1861</v>
      </c>
    </row>
    <row r="606" spans="1:7" x14ac:dyDescent="0.25">
      <c r="A606" s="69" t="s">
        <v>1725</v>
      </c>
      <c r="B606" s="71">
        <v>43373</v>
      </c>
      <c r="C606">
        <v>-9967</v>
      </c>
      <c r="D606" t="s">
        <v>1841</v>
      </c>
      <c r="E606" t="s">
        <v>1848</v>
      </c>
      <c r="F606">
        <v>9</v>
      </c>
      <c r="G606" t="s">
        <v>1862</v>
      </c>
    </row>
    <row r="607" spans="1:7" x14ac:dyDescent="0.25">
      <c r="A607" s="69" t="s">
        <v>1725</v>
      </c>
      <c r="B607" s="71">
        <v>43465</v>
      </c>
      <c r="C607">
        <v>-10487</v>
      </c>
      <c r="D607" t="s">
        <v>1841</v>
      </c>
      <c r="E607" t="s">
        <v>1849</v>
      </c>
      <c r="F607">
        <v>12</v>
      </c>
      <c r="G607" t="s">
        <v>1863</v>
      </c>
    </row>
    <row r="608" spans="1:7" x14ac:dyDescent="0.25">
      <c r="A608" s="69" t="s">
        <v>1725</v>
      </c>
      <c r="B608" s="71">
        <v>43555</v>
      </c>
      <c r="C608">
        <v>-10918</v>
      </c>
      <c r="D608" t="s">
        <v>1842</v>
      </c>
      <c r="E608" t="s">
        <v>1846</v>
      </c>
      <c r="F608">
        <v>3</v>
      </c>
      <c r="G608" t="s">
        <v>1860</v>
      </c>
    </row>
    <row r="609" spans="1:7" x14ac:dyDescent="0.25">
      <c r="A609" s="69" t="s">
        <v>1725</v>
      </c>
      <c r="B609" s="71">
        <v>43646</v>
      </c>
      <c r="C609">
        <v>-10597</v>
      </c>
      <c r="D609" t="s">
        <v>1842</v>
      </c>
      <c r="E609" t="s">
        <v>1847</v>
      </c>
      <c r="F609">
        <v>6</v>
      </c>
      <c r="G609" t="s">
        <v>1861</v>
      </c>
    </row>
    <row r="610" spans="1:7" x14ac:dyDescent="0.25">
      <c r="A610" s="69" t="s">
        <v>1725</v>
      </c>
      <c r="B610" s="71">
        <v>43738</v>
      </c>
      <c r="C610">
        <v>-10807</v>
      </c>
      <c r="D610" t="s">
        <v>1842</v>
      </c>
      <c r="E610" t="s">
        <v>1848</v>
      </c>
      <c r="F610">
        <v>9</v>
      </c>
      <c r="G610" t="s">
        <v>1862</v>
      </c>
    </row>
    <row r="611" spans="1:7" x14ac:dyDescent="0.25">
      <c r="A611" s="69" t="s">
        <v>1725</v>
      </c>
      <c r="B611" s="71">
        <v>43830</v>
      </c>
      <c r="C611">
        <v>-10713</v>
      </c>
      <c r="D611" t="s">
        <v>1842</v>
      </c>
      <c r="E611" t="s">
        <v>1849</v>
      </c>
      <c r="F611">
        <v>12</v>
      </c>
      <c r="G611" t="s">
        <v>1863</v>
      </c>
    </row>
    <row r="612" spans="1:7" x14ac:dyDescent="0.25">
      <c r="A612" s="69" t="s">
        <v>1725</v>
      </c>
      <c r="B612" s="71">
        <v>43921</v>
      </c>
      <c r="C612">
        <v>-7032</v>
      </c>
      <c r="D612" t="s">
        <v>1843</v>
      </c>
      <c r="E612" t="s">
        <v>1846</v>
      </c>
      <c r="F612">
        <v>3</v>
      </c>
      <c r="G612" t="s">
        <v>1860</v>
      </c>
    </row>
    <row r="613" spans="1:7" x14ac:dyDescent="0.25">
      <c r="A613" s="69" t="s">
        <v>1725</v>
      </c>
      <c r="B613" s="71">
        <v>44012</v>
      </c>
      <c r="C613">
        <v>-9109</v>
      </c>
      <c r="D613" t="s">
        <v>1843</v>
      </c>
      <c r="E613" t="s">
        <v>1847</v>
      </c>
      <c r="F613">
        <v>6</v>
      </c>
      <c r="G613" t="s">
        <v>1861</v>
      </c>
    </row>
    <row r="614" spans="1:7" x14ac:dyDescent="0.25">
      <c r="A614" s="69" t="s">
        <v>1725</v>
      </c>
      <c r="B614" s="71">
        <v>44104</v>
      </c>
      <c r="C614">
        <v>-8260</v>
      </c>
      <c r="D614" t="s">
        <v>1843</v>
      </c>
      <c r="E614" t="s">
        <v>1848</v>
      </c>
      <c r="F614">
        <v>9</v>
      </c>
      <c r="G614" t="s">
        <v>1862</v>
      </c>
    </row>
    <row r="615" spans="1:7" x14ac:dyDescent="0.25">
      <c r="A615" s="69" t="s">
        <v>1725</v>
      </c>
      <c r="B615" s="71">
        <v>44196</v>
      </c>
      <c r="C615">
        <v>-7612</v>
      </c>
      <c r="D615" t="s">
        <v>1843</v>
      </c>
      <c r="E615" t="s">
        <v>1849</v>
      </c>
      <c r="F615">
        <v>12</v>
      </c>
      <c r="G615" t="s">
        <v>1863</v>
      </c>
    </row>
    <row r="616" spans="1:7" x14ac:dyDescent="0.25">
      <c r="A616" s="69" t="s">
        <v>1725</v>
      </c>
      <c r="B616" s="71">
        <v>44286</v>
      </c>
      <c r="C616">
        <v>-5882</v>
      </c>
      <c r="D616" t="s">
        <v>1844</v>
      </c>
      <c r="E616" t="s">
        <v>1846</v>
      </c>
      <c r="F616">
        <v>3</v>
      </c>
      <c r="G616" t="s">
        <v>1860</v>
      </c>
    </row>
    <row r="617" spans="1:7" x14ac:dyDescent="0.25">
      <c r="A617" s="69" t="s">
        <v>1725</v>
      </c>
      <c r="B617" s="71">
        <v>44377</v>
      </c>
      <c r="C617">
        <v>-5958</v>
      </c>
      <c r="D617" t="s">
        <v>1844</v>
      </c>
      <c r="E617" t="s">
        <v>1847</v>
      </c>
      <c r="F617">
        <v>6</v>
      </c>
      <c r="G617" t="s">
        <v>1861</v>
      </c>
    </row>
    <row r="618" spans="1:7" x14ac:dyDescent="0.25">
      <c r="A618" s="69" t="s">
        <v>1725</v>
      </c>
      <c r="B618" s="71">
        <v>44469</v>
      </c>
      <c r="C618">
        <v>-6299</v>
      </c>
      <c r="D618" t="s">
        <v>1844</v>
      </c>
      <c r="E618" t="s">
        <v>1848</v>
      </c>
      <c r="F618">
        <v>9</v>
      </c>
      <c r="G618" t="s">
        <v>1862</v>
      </c>
    </row>
    <row r="619" spans="1:7" x14ac:dyDescent="0.25">
      <c r="A619" s="69" t="s">
        <v>1725</v>
      </c>
      <c r="B619" s="71">
        <v>44561</v>
      </c>
      <c r="C619">
        <v>-8660</v>
      </c>
      <c r="D619" t="s">
        <v>1844</v>
      </c>
      <c r="E619" t="s">
        <v>1849</v>
      </c>
      <c r="F619">
        <v>12</v>
      </c>
      <c r="G619" t="s">
        <v>1863</v>
      </c>
    </row>
    <row r="620" spans="1:7" x14ac:dyDescent="0.25">
      <c r="A620" s="69" t="s">
        <v>1725</v>
      </c>
      <c r="B620" s="71">
        <v>44651</v>
      </c>
      <c r="C620">
        <v>-5493</v>
      </c>
      <c r="D620" t="s">
        <v>1845</v>
      </c>
      <c r="E620" t="s">
        <v>1846</v>
      </c>
      <c r="F620">
        <v>3</v>
      </c>
      <c r="G620" t="s">
        <v>1860</v>
      </c>
    </row>
    <row r="621" spans="1:7" x14ac:dyDescent="0.25">
      <c r="A621" s="69" t="s">
        <v>1725</v>
      </c>
      <c r="B621" s="71">
        <v>44742</v>
      </c>
      <c r="C621">
        <v>-6451</v>
      </c>
      <c r="D621" t="s">
        <v>1845</v>
      </c>
      <c r="E621" t="s">
        <v>1847</v>
      </c>
      <c r="F621">
        <v>6</v>
      </c>
      <c r="G621" t="s">
        <v>1861</v>
      </c>
    </row>
    <row r="622" spans="1:7" x14ac:dyDescent="0.25">
      <c r="A622" s="69" t="s">
        <v>1725</v>
      </c>
      <c r="B622" s="71">
        <v>44834</v>
      </c>
      <c r="C622">
        <v>-6998</v>
      </c>
      <c r="D622" t="s">
        <v>1845</v>
      </c>
      <c r="E622" t="s">
        <v>1848</v>
      </c>
      <c r="F622">
        <v>9</v>
      </c>
      <c r="G622" t="s">
        <v>1862</v>
      </c>
    </row>
    <row r="623" spans="1:7" x14ac:dyDescent="0.25">
      <c r="A623" s="69" t="s">
        <v>1725</v>
      </c>
      <c r="B623" s="71">
        <v>44926</v>
      </c>
      <c r="C623">
        <v>-6904</v>
      </c>
      <c r="D623" t="s">
        <v>1845</v>
      </c>
      <c r="E623" t="s">
        <v>1849</v>
      </c>
      <c r="F623">
        <v>12</v>
      </c>
      <c r="G623" t="s">
        <v>1863</v>
      </c>
    </row>
    <row r="624" spans="1:7" x14ac:dyDescent="0.25">
      <c r="A624" s="69" t="s">
        <v>90</v>
      </c>
      <c r="B624" s="71">
        <v>42735</v>
      </c>
      <c r="C624">
        <v>1852</v>
      </c>
      <c r="D624" t="s">
        <v>1839</v>
      </c>
      <c r="E624" t="s">
        <v>1849</v>
      </c>
      <c r="F624">
        <v>12</v>
      </c>
      <c r="G624" t="s">
        <v>1863</v>
      </c>
    </row>
    <row r="625" spans="1:7" x14ac:dyDescent="0.25">
      <c r="A625" s="69" t="s">
        <v>90</v>
      </c>
      <c r="B625" s="71">
        <v>42825</v>
      </c>
      <c r="C625">
        <v>222</v>
      </c>
      <c r="D625" t="s">
        <v>1840</v>
      </c>
      <c r="E625" t="s">
        <v>1846</v>
      </c>
      <c r="F625">
        <v>3</v>
      </c>
      <c r="G625" t="s">
        <v>1860</v>
      </c>
    </row>
    <row r="626" spans="1:7" x14ac:dyDescent="0.25">
      <c r="A626" s="69" t="s">
        <v>90</v>
      </c>
      <c r="B626" s="71">
        <v>42916</v>
      </c>
      <c r="C626">
        <v>430</v>
      </c>
      <c r="D626" t="s">
        <v>1840</v>
      </c>
      <c r="E626" t="s">
        <v>1847</v>
      </c>
      <c r="F626">
        <v>6</v>
      </c>
      <c r="G626" t="s">
        <v>1861</v>
      </c>
    </row>
    <row r="627" spans="1:7" x14ac:dyDescent="0.25">
      <c r="A627" s="69" t="s">
        <v>90</v>
      </c>
      <c r="B627" s="71">
        <v>43008</v>
      </c>
      <c r="C627">
        <v>553</v>
      </c>
      <c r="D627" t="s">
        <v>1840</v>
      </c>
      <c r="E627" t="s">
        <v>1848</v>
      </c>
      <c r="F627">
        <v>9</v>
      </c>
      <c r="G627" t="s">
        <v>1862</v>
      </c>
    </row>
    <row r="628" spans="1:7" x14ac:dyDescent="0.25">
      <c r="A628" s="69" t="s">
        <v>90</v>
      </c>
      <c r="B628" s="71">
        <v>43100</v>
      </c>
      <c r="C628">
        <v>4225</v>
      </c>
      <c r="D628" t="s">
        <v>1840</v>
      </c>
      <c r="E628" t="s">
        <v>1849</v>
      </c>
      <c r="F628">
        <v>12</v>
      </c>
      <c r="G628" t="s">
        <v>1863</v>
      </c>
    </row>
    <row r="629" spans="1:7" x14ac:dyDescent="0.25">
      <c r="A629" s="69" t="s">
        <v>90</v>
      </c>
      <c r="B629" s="71">
        <v>43190</v>
      </c>
      <c r="C629">
        <v>125</v>
      </c>
      <c r="D629" t="s">
        <v>1841</v>
      </c>
      <c r="E629" t="s">
        <v>1846</v>
      </c>
      <c r="F629">
        <v>3</v>
      </c>
      <c r="G629" t="s">
        <v>1860</v>
      </c>
    </row>
    <row r="630" spans="1:7" x14ac:dyDescent="0.25">
      <c r="A630" s="69" t="s">
        <v>90</v>
      </c>
      <c r="B630" s="71">
        <v>43281</v>
      </c>
      <c r="C630">
        <v>637</v>
      </c>
      <c r="D630" t="s">
        <v>1841</v>
      </c>
      <c r="E630" t="s">
        <v>1847</v>
      </c>
      <c r="F630">
        <v>6</v>
      </c>
      <c r="G630" t="s">
        <v>1861</v>
      </c>
    </row>
    <row r="631" spans="1:7" x14ac:dyDescent="0.25">
      <c r="A631" s="69" t="s">
        <v>90</v>
      </c>
      <c r="B631" s="71">
        <v>43373</v>
      </c>
      <c r="C631">
        <v>968</v>
      </c>
      <c r="D631" t="s">
        <v>1841</v>
      </c>
      <c r="E631" t="s">
        <v>1848</v>
      </c>
      <c r="F631">
        <v>9</v>
      </c>
      <c r="G631" t="s">
        <v>1862</v>
      </c>
    </row>
    <row r="632" spans="1:7" x14ac:dyDescent="0.25">
      <c r="A632" s="69" t="s">
        <v>90</v>
      </c>
      <c r="B632" s="71">
        <v>43465</v>
      </c>
      <c r="C632">
        <v>2512</v>
      </c>
      <c r="D632" t="s">
        <v>1841</v>
      </c>
      <c r="E632" t="s">
        <v>1849</v>
      </c>
      <c r="F632">
        <v>12</v>
      </c>
      <c r="G632" t="s">
        <v>1863</v>
      </c>
    </row>
    <row r="633" spans="1:7" x14ac:dyDescent="0.25">
      <c r="A633" s="69" t="s">
        <v>90</v>
      </c>
      <c r="B633" s="71">
        <v>43555</v>
      </c>
      <c r="C633">
        <v>134</v>
      </c>
      <c r="D633" t="s">
        <v>1842</v>
      </c>
      <c r="E633" t="s">
        <v>1846</v>
      </c>
      <c r="F633">
        <v>3</v>
      </c>
      <c r="G633" t="s">
        <v>1860</v>
      </c>
    </row>
    <row r="634" spans="1:7" x14ac:dyDescent="0.25">
      <c r="A634" s="69" t="s">
        <v>90</v>
      </c>
      <c r="B634" s="71">
        <v>43646</v>
      </c>
      <c r="C634">
        <v>267</v>
      </c>
      <c r="D634" t="s">
        <v>1842</v>
      </c>
      <c r="E634" t="s">
        <v>1847</v>
      </c>
      <c r="F634">
        <v>6</v>
      </c>
      <c r="G634" t="s">
        <v>1861</v>
      </c>
    </row>
    <row r="635" spans="1:7" x14ac:dyDescent="0.25">
      <c r="A635" s="69" t="s">
        <v>90</v>
      </c>
      <c r="B635" s="71">
        <v>43738</v>
      </c>
      <c r="C635">
        <v>253</v>
      </c>
      <c r="D635" t="s">
        <v>1842</v>
      </c>
      <c r="E635" t="s">
        <v>1848</v>
      </c>
      <c r="F635">
        <v>9</v>
      </c>
      <c r="G635" t="s">
        <v>1862</v>
      </c>
    </row>
    <row r="636" spans="1:7" x14ac:dyDescent="0.25">
      <c r="A636" s="69" t="s">
        <v>90</v>
      </c>
      <c r="B636" s="71">
        <v>43830</v>
      </c>
      <c r="C636">
        <v>1595</v>
      </c>
      <c r="D636" t="s">
        <v>1842</v>
      </c>
      <c r="E636" t="s">
        <v>1849</v>
      </c>
      <c r="F636">
        <v>12</v>
      </c>
      <c r="G636" t="s">
        <v>1863</v>
      </c>
    </row>
    <row r="637" spans="1:7" x14ac:dyDescent="0.25">
      <c r="A637" s="69" t="s">
        <v>90</v>
      </c>
      <c r="B637" s="71">
        <v>43921</v>
      </c>
      <c r="C637">
        <v>1266</v>
      </c>
      <c r="D637" t="s">
        <v>1843</v>
      </c>
      <c r="E637" t="s">
        <v>1846</v>
      </c>
      <c r="F637">
        <v>3</v>
      </c>
      <c r="G637" t="s">
        <v>1860</v>
      </c>
    </row>
    <row r="638" spans="1:7" x14ac:dyDescent="0.25">
      <c r="A638" s="69" t="s">
        <v>90</v>
      </c>
      <c r="B638" s="71">
        <v>44012</v>
      </c>
      <c r="C638">
        <v>134</v>
      </c>
      <c r="D638" t="s">
        <v>1843</v>
      </c>
      <c r="E638" t="s">
        <v>1847</v>
      </c>
      <c r="F638">
        <v>6</v>
      </c>
      <c r="G638" t="s">
        <v>1861</v>
      </c>
    </row>
    <row r="639" spans="1:7" x14ac:dyDescent="0.25">
      <c r="A639" s="69" t="s">
        <v>90</v>
      </c>
      <c r="B639" s="71">
        <v>44104</v>
      </c>
      <c r="C639">
        <v>5209</v>
      </c>
      <c r="D639" t="s">
        <v>1843</v>
      </c>
      <c r="E639" t="s">
        <v>1848</v>
      </c>
      <c r="F639">
        <v>9</v>
      </c>
      <c r="G639" t="s">
        <v>1862</v>
      </c>
    </row>
    <row r="640" spans="1:7" x14ac:dyDescent="0.25">
      <c r="A640" s="69" t="s">
        <v>90</v>
      </c>
      <c r="B640" s="71">
        <v>44196</v>
      </c>
      <c r="C640">
        <v>470</v>
      </c>
      <c r="D640" t="s">
        <v>1843</v>
      </c>
      <c r="E640" t="s">
        <v>1849</v>
      </c>
      <c r="F640">
        <v>12</v>
      </c>
      <c r="G640" t="s">
        <v>1863</v>
      </c>
    </row>
    <row r="641" spans="1:7" x14ac:dyDescent="0.25">
      <c r="A641" s="69" t="s">
        <v>90</v>
      </c>
      <c r="B641" s="71">
        <v>44286</v>
      </c>
      <c r="C641">
        <v>234</v>
      </c>
      <c r="D641" t="s">
        <v>1844</v>
      </c>
      <c r="E641" t="s">
        <v>1846</v>
      </c>
      <c r="F641">
        <v>3</v>
      </c>
      <c r="G641" t="s">
        <v>1860</v>
      </c>
    </row>
    <row r="642" spans="1:7" x14ac:dyDescent="0.25">
      <c r="A642" s="69" t="s">
        <v>90</v>
      </c>
      <c r="B642" s="71">
        <v>44377</v>
      </c>
      <c r="C642">
        <v>766</v>
      </c>
      <c r="D642" t="s">
        <v>1844</v>
      </c>
      <c r="E642" t="s">
        <v>1847</v>
      </c>
      <c r="F642">
        <v>6</v>
      </c>
      <c r="G642" t="s">
        <v>1861</v>
      </c>
    </row>
    <row r="643" spans="1:7" x14ac:dyDescent="0.25">
      <c r="A643" s="69" t="s">
        <v>90</v>
      </c>
      <c r="B643" s="71">
        <v>44469</v>
      </c>
      <c r="C643">
        <v>477</v>
      </c>
      <c r="D643" t="s">
        <v>1844</v>
      </c>
      <c r="E643" t="s">
        <v>1848</v>
      </c>
      <c r="F643">
        <v>9</v>
      </c>
      <c r="G643" t="s">
        <v>1862</v>
      </c>
    </row>
    <row r="644" spans="1:7" x14ac:dyDescent="0.25">
      <c r="A644" s="69" t="s">
        <v>90</v>
      </c>
      <c r="B644" s="71">
        <v>44561</v>
      </c>
      <c r="C644">
        <v>1365</v>
      </c>
      <c r="D644" t="s">
        <v>1844</v>
      </c>
      <c r="E644" t="s">
        <v>1849</v>
      </c>
      <c r="F644">
        <v>12</v>
      </c>
      <c r="G644" t="s">
        <v>1863</v>
      </c>
    </row>
    <row r="645" spans="1:7" x14ac:dyDescent="0.25">
      <c r="A645" s="69" t="s">
        <v>90</v>
      </c>
      <c r="B645" s="71">
        <v>44651</v>
      </c>
      <c r="C645">
        <v>403</v>
      </c>
      <c r="D645" t="s">
        <v>1845</v>
      </c>
      <c r="E645" t="s">
        <v>1846</v>
      </c>
      <c r="F645">
        <v>3</v>
      </c>
      <c r="G645" t="s">
        <v>1860</v>
      </c>
    </row>
    <row r="646" spans="1:7" x14ac:dyDescent="0.25">
      <c r="A646" s="69" t="s">
        <v>90</v>
      </c>
      <c r="B646" s="71">
        <v>44742</v>
      </c>
      <c r="C646">
        <v>309</v>
      </c>
      <c r="D646" t="s">
        <v>1845</v>
      </c>
      <c r="E646" t="s">
        <v>1847</v>
      </c>
      <c r="F646">
        <v>6</v>
      </c>
      <c r="G646" t="s">
        <v>1861</v>
      </c>
    </row>
    <row r="647" spans="1:7" x14ac:dyDescent="0.25">
      <c r="A647" s="69" t="s">
        <v>90</v>
      </c>
      <c r="B647" s="71">
        <v>44834</v>
      </c>
      <c r="C647">
        <v>1494</v>
      </c>
      <c r="D647" t="s">
        <v>1845</v>
      </c>
      <c r="E647" t="s">
        <v>1848</v>
      </c>
      <c r="F647">
        <v>9</v>
      </c>
      <c r="G647" t="s">
        <v>1862</v>
      </c>
    </row>
    <row r="648" spans="1:7" x14ac:dyDescent="0.25">
      <c r="A648" s="69" t="s">
        <v>90</v>
      </c>
      <c r="B648" s="71">
        <v>44926</v>
      </c>
      <c r="C648">
        <v>1599</v>
      </c>
      <c r="D648" t="s">
        <v>1845</v>
      </c>
      <c r="E648" t="s">
        <v>1849</v>
      </c>
      <c r="F648">
        <v>12</v>
      </c>
      <c r="G648" t="s">
        <v>1863</v>
      </c>
    </row>
    <row r="649" spans="1:7" x14ac:dyDescent="0.25">
      <c r="A649" s="69" t="s">
        <v>91</v>
      </c>
      <c r="B649" s="71">
        <v>42460</v>
      </c>
      <c r="C649">
        <v>-269</v>
      </c>
      <c r="D649" t="s">
        <v>1839</v>
      </c>
      <c r="E649" t="s">
        <v>1846</v>
      </c>
      <c r="F649">
        <v>3</v>
      </c>
      <c r="G649" t="s">
        <v>1860</v>
      </c>
    </row>
    <row r="650" spans="1:7" x14ac:dyDescent="0.25">
      <c r="A650" s="69" t="s">
        <v>91</v>
      </c>
      <c r="B650" s="71">
        <v>42551</v>
      </c>
      <c r="C650">
        <v>-219</v>
      </c>
      <c r="D650" t="s">
        <v>1839</v>
      </c>
      <c r="E650" t="s">
        <v>1847</v>
      </c>
      <c r="F650">
        <v>6</v>
      </c>
      <c r="G650" t="s">
        <v>1861</v>
      </c>
    </row>
    <row r="651" spans="1:7" x14ac:dyDescent="0.25">
      <c r="A651" s="69" t="s">
        <v>91</v>
      </c>
      <c r="B651" s="71">
        <v>42643</v>
      </c>
      <c r="C651">
        <v>-295</v>
      </c>
      <c r="D651" t="s">
        <v>1839</v>
      </c>
      <c r="E651" t="s">
        <v>1848</v>
      </c>
      <c r="F651">
        <v>9</v>
      </c>
      <c r="G651" t="s">
        <v>1862</v>
      </c>
    </row>
    <row r="652" spans="1:7" x14ac:dyDescent="0.25">
      <c r="A652" s="69" t="s">
        <v>91</v>
      </c>
      <c r="B652" s="71">
        <v>42735</v>
      </c>
      <c r="C652">
        <v>-352</v>
      </c>
      <c r="D652" t="s">
        <v>1839</v>
      </c>
      <c r="E652" t="s">
        <v>1849</v>
      </c>
      <c r="F652">
        <v>12</v>
      </c>
      <c r="G652" t="s">
        <v>1863</v>
      </c>
    </row>
    <row r="653" spans="1:7" x14ac:dyDescent="0.25">
      <c r="A653" s="69" t="s">
        <v>91</v>
      </c>
      <c r="B653" s="71">
        <v>42825</v>
      </c>
      <c r="C653">
        <v>-310</v>
      </c>
      <c r="D653" t="s">
        <v>1840</v>
      </c>
      <c r="E653" t="s">
        <v>1846</v>
      </c>
      <c r="F653">
        <v>3</v>
      </c>
      <c r="G653" t="s">
        <v>1860</v>
      </c>
    </row>
    <row r="654" spans="1:7" x14ac:dyDescent="0.25">
      <c r="A654" s="69" t="s">
        <v>91</v>
      </c>
      <c r="B654" s="71">
        <v>42916</v>
      </c>
      <c r="C654">
        <v>-477</v>
      </c>
      <c r="D654" t="s">
        <v>1840</v>
      </c>
      <c r="E654" t="s">
        <v>1847</v>
      </c>
      <c r="F654">
        <v>6</v>
      </c>
      <c r="G654" t="s">
        <v>1861</v>
      </c>
    </row>
    <row r="655" spans="1:7" x14ac:dyDescent="0.25">
      <c r="A655" s="69" t="s">
        <v>91</v>
      </c>
      <c r="B655" s="71">
        <v>43008</v>
      </c>
      <c r="C655">
        <v>-854</v>
      </c>
      <c r="D655" t="s">
        <v>1840</v>
      </c>
      <c r="E655" t="s">
        <v>1848</v>
      </c>
      <c r="F655">
        <v>9</v>
      </c>
      <c r="G655" t="s">
        <v>1862</v>
      </c>
    </row>
    <row r="656" spans="1:7" x14ac:dyDescent="0.25">
      <c r="A656" s="69" t="s">
        <v>91</v>
      </c>
      <c r="B656" s="71">
        <v>43100</v>
      </c>
      <c r="C656">
        <v>-134</v>
      </c>
      <c r="D656" t="s">
        <v>1840</v>
      </c>
      <c r="E656" t="s">
        <v>1849</v>
      </c>
      <c r="F656">
        <v>12</v>
      </c>
      <c r="G656" t="s">
        <v>1863</v>
      </c>
    </row>
    <row r="657" spans="1:7" x14ac:dyDescent="0.25">
      <c r="A657" s="69" t="s">
        <v>91</v>
      </c>
      <c r="B657" s="71">
        <v>43190</v>
      </c>
      <c r="C657">
        <v>-419</v>
      </c>
      <c r="D657" t="s">
        <v>1841</v>
      </c>
      <c r="E657" t="s">
        <v>1846</v>
      </c>
      <c r="F657">
        <v>3</v>
      </c>
      <c r="G657" t="s">
        <v>1860</v>
      </c>
    </row>
    <row r="658" spans="1:7" x14ac:dyDescent="0.25">
      <c r="A658" s="69" t="s">
        <v>91</v>
      </c>
      <c r="B658" s="71">
        <v>43281</v>
      </c>
      <c r="C658">
        <v>-354</v>
      </c>
      <c r="D658" t="s">
        <v>1841</v>
      </c>
      <c r="E658" t="s">
        <v>1847</v>
      </c>
      <c r="F658">
        <v>6</v>
      </c>
      <c r="G658" t="s">
        <v>1861</v>
      </c>
    </row>
    <row r="659" spans="1:7" x14ac:dyDescent="0.25">
      <c r="A659" s="69" t="s">
        <v>91</v>
      </c>
      <c r="B659" s="71">
        <v>43373</v>
      </c>
      <c r="C659">
        <v>-770</v>
      </c>
      <c r="D659" t="s">
        <v>1841</v>
      </c>
      <c r="E659" t="s">
        <v>1848</v>
      </c>
      <c r="F659">
        <v>9</v>
      </c>
      <c r="G659" t="s">
        <v>1862</v>
      </c>
    </row>
    <row r="660" spans="1:7" x14ac:dyDescent="0.25">
      <c r="A660" s="69" t="s">
        <v>91</v>
      </c>
      <c r="B660" s="71">
        <v>43465</v>
      </c>
      <c r="C660">
        <v>-1475</v>
      </c>
      <c r="D660" t="s">
        <v>1841</v>
      </c>
      <c r="E660" t="s">
        <v>1849</v>
      </c>
      <c r="F660">
        <v>12</v>
      </c>
      <c r="G660" t="s">
        <v>1863</v>
      </c>
    </row>
    <row r="661" spans="1:7" x14ac:dyDescent="0.25">
      <c r="A661" s="69" t="s">
        <v>91</v>
      </c>
      <c r="B661" s="71">
        <v>43555</v>
      </c>
      <c r="C661">
        <v>-438</v>
      </c>
      <c r="D661" t="s">
        <v>1842</v>
      </c>
      <c r="E661" t="s">
        <v>1846</v>
      </c>
      <c r="F661">
        <v>3</v>
      </c>
      <c r="G661" t="s">
        <v>1860</v>
      </c>
    </row>
    <row r="662" spans="1:7" x14ac:dyDescent="0.25">
      <c r="A662" s="69" t="s">
        <v>91</v>
      </c>
      <c r="B662" s="71">
        <v>43646</v>
      </c>
      <c r="C662">
        <v>-492</v>
      </c>
      <c r="D662" t="s">
        <v>1842</v>
      </c>
      <c r="E662" t="s">
        <v>1847</v>
      </c>
      <c r="F662">
        <v>6</v>
      </c>
      <c r="G662" t="s">
        <v>1861</v>
      </c>
    </row>
    <row r="663" spans="1:7" x14ac:dyDescent="0.25">
      <c r="A663" s="69" t="s">
        <v>91</v>
      </c>
      <c r="B663" s="71">
        <v>43738</v>
      </c>
      <c r="C663">
        <v>-557</v>
      </c>
      <c r="D663" t="s">
        <v>1842</v>
      </c>
      <c r="E663" t="s">
        <v>1848</v>
      </c>
      <c r="F663">
        <v>9</v>
      </c>
      <c r="G663" t="s">
        <v>1862</v>
      </c>
    </row>
    <row r="664" spans="1:7" x14ac:dyDescent="0.25">
      <c r="A664" s="69" t="s">
        <v>91</v>
      </c>
      <c r="B664" s="71">
        <v>43830</v>
      </c>
      <c r="C664">
        <v>-1141</v>
      </c>
      <c r="D664" t="s">
        <v>1842</v>
      </c>
      <c r="E664" t="s">
        <v>1849</v>
      </c>
      <c r="F664">
        <v>12</v>
      </c>
      <c r="G664" t="s">
        <v>1863</v>
      </c>
    </row>
    <row r="665" spans="1:7" x14ac:dyDescent="0.25">
      <c r="A665" s="69" t="s">
        <v>91</v>
      </c>
      <c r="B665" s="71">
        <v>43921</v>
      </c>
      <c r="C665">
        <v>-442</v>
      </c>
      <c r="D665" t="s">
        <v>1843</v>
      </c>
      <c r="E665" t="s">
        <v>1846</v>
      </c>
      <c r="F665">
        <v>3</v>
      </c>
      <c r="G665" t="s">
        <v>1860</v>
      </c>
    </row>
    <row r="666" spans="1:7" x14ac:dyDescent="0.25">
      <c r="A666" s="69" t="s">
        <v>91</v>
      </c>
      <c r="B666" s="71">
        <v>44012</v>
      </c>
      <c r="C666">
        <v>-40</v>
      </c>
      <c r="D666" t="s">
        <v>1843</v>
      </c>
      <c r="E666" t="s">
        <v>1847</v>
      </c>
      <c r="F666">
        <v>6</v>
      </c>
      <c r="G666" t="s">
        <v>1861</v>
      </c>
    </row>
    <row r="667" spans="1:7" x14ac:dyDescent="0.25">
      <c r="A667" s="69" t="s">
        <v>91</v>
      </c>
      <c r="B667" s="71">
        <v>44104</v>
      </c>
      <c r="C667">
        <v>-463</v>
      </c>
      <c r="D667" t="s">
        <v>1843</v>
      </c>
      <c r="E667" t="s">
        <v>1848</v>
      </c>
      <c r="F667">
        <v>9</v>
      </c>
      <c r="G667" t="s">
        <v>1862</v>
      </c>
    </row>
    <row r="668" spans="1:7" x14ac:dyDescent="0.25">
      <c r="A668" s="69" t="s">
        <v>91</v>
      </c>
      <c r="B668" s="71">
        <v>44196</v>
      </c>
      <c r="C668">
        <v>-991</v>
      </c>
      <c r="D668" t="s">
        <v>1843</v>
      </c>
      <c r="E668" t="s">
        <v>1849</v>
      </c>
      <c r="F668">
        <v>12</v>
      </c>
      <c r="G668" t="s">
        <v>1863</v>
      </c>
    </row>
    <row r="669" spans="1:7" x14ac:dyDescent="0.25">
      <c r="A669" s="69" t="s">
        <v>91</v>
      </c>
      <c r="B669" s="71">
        <v>44286</v>
      </c>
      <c r="C669">
        <v>-251</v>
      </c>
      <c r="D669" t="s">
        <v>1844</v>
      </c>
      <c r="E669" t="s">
        <v>1846</v>
      </c>
      <c r="F669">
        <v>3</v>
      </c>
      <c r="G669" t="s">
        <v>1860</v>
      </c>
    </row>
    <row r="670" spans="1:7" x14ac:dyDescent="0.25">
      <c r="A670" s="69" t="s">
        <v>91</v>
      </c>
      <c r="B670" s="71">
        <v>44377</v>
      </c>
      <c r="C670">
        <v>-64</v>
      </c>
      <c r="D670" t="s">
        <v>1844</v>
      </c>
      <c r="E670" t="s">
        <v>1847</v>
      </c>
      <c r="F670">
        <v>6</v>
      </c>
      <c r="G670" t="s">
        <v>1861</v>
      </c>
    </row>
    <row r="671" spans="1:7" x14ac:dyDescent="0.25">
      <c r="A671" s="69" t="s">
        <v>91</v>
      </c>
      <c r="B671" s="71">
        <v>44469</v>
      </c>
      <c r="C671">
        <v>-599</v>
      </c>
      <c r="D671" t="s">
        <v>1844</v>
      </c>
      <c r="E671" t="s">
        <v>1848</v>
      </c>
      <c r="F671">
        <v>9</v>
      </c>
      <c r="G671" t="s">
        <v>1862</v>
      </c>
    </row>
    <row r="672" spans="1:7" x14ac:dyDescent="0.25">
      <c r="A672" s="69" t="s">
        <v>91</v>
      </c>
      <c r="B672" s="71">
        <v>44561</v>
      </c>
      <c r="C672">
        <v>-388</v>
      </c>
      <c r="D672" t="s">
        <v>1844</v>
      </c>
      <c r="E672" t="s">
        <v>1849</v>
      </c>
      <c r="F672">
        <v>12</v>
      </c>
      <c r="G672" t="s">
        <v>1863</v>
      </c>
    </row>
    <row r="673" spans="1:7" x14ac:dyDescent="0.25">
      <c r="A673" s="69" t="s">
        <v>91</v>
      </c>
      <c r="B673" s="71">
        <v>44651</v>
      </c>
      <c r="C673">
        <v>-278</v>
      </c>
      <c r="D673" t="s">
        <v>1845</v>
      </c>
      <c r="E673" t="s">
        <v>1846</v>
      </c>
      <c r="F673">
        <v>3</v>
      </c>
      <c r="G673" t="s">
        <v>1860</v>
      </c>
    </row>
    <row r="674" spans="1:7" x14ac:dyDescent="0.25">
      <c r="A674" s="69" t="s">
        <v>91</v>
      </c>
      <c r="B674" s="71">
        <v>44742</v>
      </c>
      <c r="C674">
        <v>-1853</v>
      </c>
      <c r="D674" t="s">
        <v>1845</v>
      </c>
      <c r="E674" t="s">
        <v>1847</v>
      </c>
      <c r="F674">
        <v>6</v>
      </c>
      <c r="G674" t="s">
        <v>1861</v>
      </c>
    </row>
    <row r="675" spans="1:7" x14ac:dyDescent="0.25">
      <c r="A675" s="69" t="s">
        <v>91</v>
      </c>
      <c r="B675" s="71">
        <v>44834</v>
      </c>
      <c r="C675">
        <v>-1558</v>
      </c>
      <c r="D675" t="s">
        <v>1845</v>
      </c>
      <c r="E675" t="s">
        <v>1848</v>
      </c>
      <c r="F675">
        <v>9</v>
      </c>
      <c r="G675" t="s">
        <v>1862</v>
      </c>
    </row>
    <row r="676" spans="1:7" x14ac:dyDescent="0.25">
      <c r="A676" s="69" t="s">
        <v>91</v>
      </c>
      <c r="B676" s="71">
        <v>44926</v>
      </c>
      <c r="C676">
        <v>-812</v>
      </c>
      <c r="D676" t="s">
        <v>1845</v>
      </c>
      <c r="E676" t="s">
        <v>1849</v>
      </c>
      <c r="F676">
        <v>12</v>
      </c>
      <c r="G676" t="s">
        <v>1863</v>
      </c>
    </row>
    <row r="677" spans="1:7" x14ac:dyDescent="0.25">
      <c r="A677" s="69" t="s">
        <v>97</v>
      </c>
      <c r="B677" s="71">
        <v>42460</v>
      </c>
      <c r="C677">
        <v>117</v>
      </c>
      <c r="D677" t="s">
        <v>1839</v>
      </c>
      <c r="E677" t="s">
        <v>1846</v>
      </c>
      <c r="F677">
        <v>3</v>
      </c>
      <c r="G677" t="s">
        <v>1860</v>
      </c>
    </row>
    <row r="678" spans="1:7" x14ac:dyDescent="0.25">
      <c r="A678" s="69" t="s">
        <v>97</v>
      </c>
      <c r="B678" s="71">
        <v>42551</v>
      </c>
      <c r="C678">
        <v>112</v>
      </c>
      <c r="D678" t="s">
        <v>1839</v>
      </c>
      <c r="E678" t="s">
        <v>1847</v>
      </c>
      <c r="F678">
        <v>6</v>
      </c>
      <c r="G678" t="s">
        <v>1861</v>
      </c>
    </row>
    <row r="679" spans="1:7" x14ac:dyDescent="0.25">
      <c r="A679" s="69" t="s">
        <v>97</v>
      </c>
      <c r="B679" s="71">
        <v>42643</v>
      </c>
      <c r="C679">
        <v>117</v>
      </c>
      <c r="D679" t="s">
        <v>1839</v>
      </c>
      <c r="E679" t="s">
        <v>1848</v>
      </c>
      <c r="F679">
        <v>9</v>
      </c>
      <c r="G679" t="s">
        <v>1862</v>
      </c>
    </row>
    <row r="680" spans="1:7" x14ac:dyDescent="0.25">
      <c r="A680" s="69" t="s">
        <v>97</v>
      </c>
      <c r="B680" s="71">
        <v>42735</v>
      </c>
      <c r="C680">
        <v>114</v>
      </c>
      <c r="D680" t="s">
        <v>1839</v>
      </c>
      <c r="E680" t="s">
        <v>1849</v>
      </c>
      <c r="F680">
        <v>12</v>
      </c>
      <c r="G680" t="s">
        <v>1863</v>
      </c>
    </row>
    <row r="681" spans="1:7" x14ac:dyDescent="0.25">
      <c r="A681" s="69" t="s">
        <v>97</v>
      </c>
      <c r="B681" s="71">
        <v>42825</v>
      </c>
      <c r="C681">
        <v>93</v>
      </c>
      <c r="D681" t="s">
        <v>1840</v>
      </c>
      <c r="E681" t="s">
        <v>1846</v>
      </c>
      <c r="F681">
        <v>3</v>
      </c>
      <c r="G681" t="s">
        <v>1860</v>
      </c>
    </row>
    <row r="682" spans="1:7" x14ac:dyDescent="0.25">
      <c r="A682" s="69" t="s">
        <v>97</v>
      </c>
      <c r="B682" s="71">
        <v>42916</v>
      </c>
      <c r="C682">
        <v>129</v>
      </c>
      <c r="D682" t="s">
        <v>1840</v>
      </c>
      <c r="E682" t="s">
        <v>1847</v>
      </c>
      <c r="F682">
        <v>6</v>
      </c>
      <c r="G682" t="s">
        <v>1861</v>
      </c>
    </row>
    <row r="683" spans="1:7" x14ac:dyDescent="0.25">
      <c r="A683" s="69" t="s">
        <v>97</v>
      </c>
      <c r="B683" s="71">
        <v>43008</v>
      </c>
      <c r="C683">
        <v>180</v>
      </c>
      <c r="D683" t="s">
        <v>1840</v>
      </c>
      <c r="E683" t="s">
        <v>1848</v>
      </c>
      <c r="F683">
        <v>9</v>
      </c>
      <c r="G683" t="s">
        <v>1862</v>
      </c>
    </row>
    <row r="684" spans="1:7" x14ac:dyDescent="0.25">
      <c r="A684" s="69" t="s">
        <v>97</v>
      </c>
      <c r="B684" s="71">
        <v>43100</v>
      </c>
      <c r="C684">
        <v>54</v>
      </c>
      <c r="D684" t="s">
        <v>1840</v>
      </c>
      <c r="E684" t="s">
        <v>1849</v>
      </c>
      <c r="F684">
        <v>12</v>
      </c>
      <c r="G684" t="s">
        <v>1863</v>
      </c>
    </row>
    <row r="685" spans="1:7" x14ac:dyDescent="0.25">
      <c r="A685" s="69" t="s">
        <v>97</v>
      </c>
      <c r="B685" s="71">
        <v>43190</v>
      </c>
      <c r="C685">
        <v>136</v>
      </c>
      <c r="D685" t="s">
        <v>1841</v>
      </c>
      <c r="E685" t="s">
        <v>1846</v>
      </c>
      <c r="F685">
        <v>3</v>
      </c>
      <c r="G685" t="s">
        <v>1860</v>
      </c>
    </row>
    <row r="686" spans="1:7" x14ac:dyDescent="0.25">
      <c r="A686" s="69" t="s">
        <v>97</v>
      </c>
      <c r="B686" s="71">
        <v>43281</v>
      </c>
      <c r="C686">
        <v>121</v>
      </c>
      <c r="D686" t="s">
        <v>1841</v>
      </c>
      <c r="E686" t="s">
        <v>1847</v>
      </c>
      <c r="F686">
        <v>6</v>
      </c>
      <c r="G686" t="s">
        <v>1861</v>
      </c>
    </row>
    <row r="687" spans="1:7" x14ac:dyDescent="0.25">
      <c r="A687" s="69" t="s">
        <v>97</v>
      </c>
      <c r="B687" s="71">
        <v>43373</v>
      </c>
      <c r="C687">
        <v>197</v>
      </c>
      <c r="D687" t="s">
        <v>1841</v>
      </c>
      <c r="E687" t="s">
        <v>1848</v>
      </c>
      <c r="F687">
        <v>9</v>
      </c>
      <c r="G687" t="s">
        <v>1862</v>
      </c>
    </row>
    <row r="688" spans="1:7" x14ac:dyDescent="0.25">
      <c r="A688" s="69" t="s">
        <v>97</v>
      </c>
      <c r="B688" s="71">
        <v>43465</v>
      </c>
      <c r="C688">
        <v>3643</v>
      </c>
      <c r="D688" t="s">
        <v>1841</v>
      </c>
      <c r="E688" t="s">
        <v>1849</v>
      </c>
      <c r="F688">
        <v>12</v>
      </c>
      <c r="G688" t="s">
        <v>1863</v>
      </c>
    </row>
    <row r="689" spans="1:7" x14ac:dyDescent="0.25">
      <c r="A689" s="69" t="s">
        <v>97</v>
      </c>
      <c r="B689" s="71">
        <v>43555</v>
      </c>
      <c r="C689">
        <v>132</v>
      </c>
      <c r="D689" t="s">
        <v>1842</v>
      </c>
      <c r="E689" t="s">
        <v>1846</v>
      </c>
      <c r="F689">
        <v>3</v>
      </c>
      <c r="G689" t="s">
        <v>1860</v>
      </c>
    </row>
    <row r="690" spans="1:7" x14ac:dyDescent="0.25">
      <c r="A690" s="69" t="s">
        <v>97</v>
      </c>
      <c r="B690" s="71">
        <v>43646</v>
      </c>
      <c r="C690">
        <v>136</v>
      </c>
      <c r="D690" t="s">
        <v>1842</v>
      </c>
      <c r="E690" t="s">
        <v>1847</v>
      </c>
      <c r="F690">
        <v>6</v>
      </c>
      <c r="G690" t="s">
        <v>1861</v>
      </c>
    </row>
    <row r="691" spans="1:7" x14ac:dyDescent="0.25">
      <c r="A691" s="69" t="s">
        <v>97</v>
      </c>
      <c r="B691" s="71">
        <v>43738</v>
      </c>
      <c r="C691">
        <v>-1</v>
      </c>
      <c r="D691" t="s">
        <v>1842</v>
      </c>
      <c r="E691" t="s">
        <v>1848</v>
      </c>
      <c r="F691">
        <v>9</v>
      </c>
      <c r="G691" t="s">
        <v>1862</v>
      </c>
    </row>
    <row r="692" spans="1:7" x14ac:dyDescent="0.25">
      <c r="A692" s="69" t="s">
        <v>97</v>
      </c>
      <c r="B692" s="71">
        <v>43830</v>
      </c>
      <c r="C692">
        <v>137</v>
      </c>
      <c r="D692" t="s">
        <v>1842</v>
      </c>
      <c r="E692" t="s">
        <v>1849</v>
      </c>
      <c r="F692">
        <v>12</v>
      </c>
      <c r="G692" t="s">
        <v>1863</v>
      </c>
    </row>
    <row r="693" spans="1:7" x14ac:dyDescent="0.25">
      <c r="A693" s="69" t="s">
        <v>97</v>
      </c>
      <c r="B693" s="71">
        <v>43921</v>
      </c>
      <c r="C693">
        <v>179</v>
      </c>
      <c r="D693" t="s">
        <v>1843</v>
      </c>
      <c r="E693" t="s">
        <v>1846</v>
      </c>
      <c r="F693">
        <v>3</v>
      </c>
      <c r="G693" t="s">
        <v>1860</v>
      </c>
    </row>
    <row r="694" spans="1:7" x14ac:dyDescent="0.25">
      <c r="A694" s="69" t="s">
        <v>97</v>
      </c>
      <c r="B694" s="71">
        <v>44012</v>
      </c>
      <c r="C694">
        <v>94</v>
      </c>
      <c r="D694" t="s">
        <v>1843</v>
      </c>
      <c r="E694" t="s">
        <v>1847</v>
      </c>
      <c r="F694">
        <v>6</v>
      </c>
      <c r="G694" t="s">
        <v>1861</v>
      </c>
    </row>
    <row r="695" spans="1:7" x14ac:dyDescent="0.25">
      <c r="A695" s="69" t="s">
        <v>97</v>
      </c>
      <c r="B695" s="71">
        <v>44104</v>
      </c>
      <c r="C695">
        <v>207</v>
      </c>
      <c r="D695" t="s">
        <v>1843</v>
      </c>
      <c r="E695" t="s">
        <v>1848</v>
      </c>
      <c r="F695">
        <v>9</v>
      </c>
      <c r="G695" t="s">
        <v>1862</v>
      </c>
    </row>
    <row r="696" spans="1:7" x14ac:dyDescent="0.25">
      <c r="A696" s="69" t="s">
        <v>97</v>
      </c>
      <c r="B696" s="71">
        <v>44196</v>
      </c>
      <c r="C696">
        <v>171</v>
      </c>
      <c r="D696" t="s">
        <v>1843</v>
      </c>
      <c r="E696" t="s">
        <v>1849</v>
      </c>
      <c r="F696">
        <v>12</v>
      </c>
      <c r="G696" t="s">
        <v>1863</v>
      </c>
    </row>
    <row r="697" spans="1:7" x14ac:dyDescent="0.25">
      <c r="A697" s="69" t="s">
        <v>97</v>
      </c>
      <c r="B697" s="71">
        <v>44286</v>
      </c>
      <c r="C697">
        <v>15</v>
      </c>
      <c r="D697" t="s">
        <v>1844</v>
      </c>
      <c r="E697" t="s">
        <v>1846</v>
      </c>
      <c r="F697">
        <v>3</v>
      </c>
      <c r="G697" t="s">
        <v>1860</v>
      </c>
    </row>
    <row r="698" spans="1:7" x14ac:dyDescent="0.25">
      <c r="A698" s="69" t="s">
        <v>97</v>
      </c>
      <c r="B698" s="71">
        <v>44377</v>
      </c>
      <c r="C698">
        <v>140</v>
      </c>
      <c r="D698" t="s">
        <v>1844</v>
      </c>
      <c r="E698" t="s">
        <v>1847</v>
      </c>
      <c r="F698">
        <v>6</v>
      </c>
      <c r="G698" t="s">
        <v>1861</v>
      </c>
    </row>
    <row r="699" spans="1:7" x14ac:dyDescent="0.25">
      <c r="A699" s="69" t="s">
        <v>97</v>
      </c>
      <c r="B699" s="71">
        <v>44469</v>
      </c>
      <c r="C699">
        <v>87</v>
      </c>
      <c r="D699" t="s">
        <v>1844</v>
      </c>
      <c r="E699" t="s">
        <v>1848</v>
      </c>
      <c r="F699">
        <v>9</v>
      </c>
      <c r="G699" t="s">
        <v>1862</v>
      </c>
    </row>
    <row r="700" spans="1:7" x14ac:dyDescent="0.25">
      <c r="A700" s="69" t="s">
        <v>97</v>
      </c>
      <c r="B700" s="71">
        <v>44561</v>
      </c>
      <c r="C700">
        <v>77</v>
      </c>
      <c r="D700" t="s">
        <v>1844</v>
      </c>
      <c r="E700" t="s">
        <v>1849</v>
      </c>
      <c r="F700">
        <v>12</v>
      </c>
      <c r="G700" t="s">
        <v>1863</v>
      </c>
    </row>
    <row r="701" spans="1:7" x14ac:dyDescent="0.25">
      <c r="A701" s="69" t="s">
        <v>97</v>
      </c>
      <c r="B701" s="71">
        <v>44651</v>
      </c>
      <c r="C701">
        <v>77</v>
      </c>
      <c r="D701" t="s">
        <v>1845</v>
      </c>
      <c r="E701" t="s">
        <v>1846</v>
      </c>
      <c r="F701">
        <v>3</v>
      </c>
      <c r="G701" t="s">
        <v>1860</v>
      </c>
    </row>
    <row r="702" spans="1:7" x14ac:dyDescent="0.25">
      <c r="A702" s="69" t="s">
        <v>97</v>
      </c>
      <c r="B702" s="71">
        <v>44742</v>
      </c>
      <c r="C702">
        <v>90</v>
      </c>
      <c r="D702" t="s">
        <v>1845</v>
      </c>
      <c r="E702" t="s">
        <v>1847</v>
      </c>
      <c r="F702">
        <v>6</v>
      </c>
      <c r="G702" t="s">
        <v>1861</v>
      </c>
    </row>
    <row r="703" spans="1:7" x14ac:dyDescent="0.25">
      <c r="A703" s="69" t="s">
        <v>97</v>
      </c>
      <c r="B703" s="71">
        <v>44834</v>
      </c>
      <c r="C703">
        <v>87</v>
      </c>
      <c r="D703" t="s">
        <v>1845</v>
      </c>
      <c r="E703" t="s">
        <v>1848</v>
      </c>
      <c r="F703">
        <v>9</v>
      </c>
      <c r="G703" t="s">
        <v>1862</v>
      </c>
    </row>
    <row r="704" spans="1:7" x14ac:dyDescent="0.25">
      <c r="A704" s="69" t="s">
        <v>97</v>
      </c>
      <c r="B704" s="71">
        <v>44926</v>
      </c>
      <c r="C704">
        <v>185</v>
      </c>
      <c r="D704" t="s">
        <v>1845</v>
      </c>
      <c r="E704" t="s">
        <v>1849</v>
      </c>
      <c r="F704">
        <v>12</v>
      </c>
      <c r="G704" t="s">
        <v>1863</v>
      </c>
    </row>
    <row r="705" spans="1:7" x14ac:dyDescent="0.25">
      <c r="A705" s="69" t="s">
        <v>98</v>
      </c>
      <c r="B705" s="71">
        <v>42460</v>
      </c>
      <c r="C705">
        <v>-1902</v>
      </c>
      <c r="D705" t="s">
        <v>1839</v>
      </c>
      <c r="E705" t="s">
        <v>1846</v>
      </c>
      <c r="F705">
        <v>3</v>
      </c>
      <c r="G705" t="s">
        <v>1860</v>
      </c>
    </row>
    <row r="706" spans="1:7" x14ac:dyDescent="0.25">
      <c r="A706" s="69" t="s">
        <v>98</v>
      </c>
      <c r="B706" s="71">
        <v>42551</v>
      </c>
      <c r="C706">
        <v>-1868</v>
      </c>
      <c r="D706" t="s">
        <v>1839</v>
      </c>
      <c r="E706" t="s">
        <v>1847</v>
      </c>
      <c r="F706">
        <v>6</v>
      </c>
      <c r="G706" t="s">
        <v>1861</v>
      </c>
    </row>
    <row r="707" spans="1:7" x14ac:dyDescent="0.25">
      <c r="A707" s="69" t="s">
        <v>98</v>
      </c>
      <c r="B707" s="71">
        <v>42643</v>
      </c>
      <c r="C707">
        <v>-1906</v>
      </c>
      <c r="D707" t="s">
        <v>1839</v>
      </c>
      <c r="E707" t="s">
        <v>1848</v>
      </c>
      <c r="F707">
        <v>9</v>
      </c>
      <c r="G707" t="s">
        <v>1862</v>
      </c>
    </row>
    <row r="708" spans="1:7" x14ac:dyDescent="0.25">
      <c r="A708" s="69" t="s">
        <v>98</v>
      </c>
      <c r="B708" s="71">
        <v>42735</v>
      </c>
      <c r="C708">
        <v>-1899</v>
      </c>
      <c r="D708" t="s">
        <v>1839</v>
      </c>
      <c r="E708" t="s">
        <v>1849</v>
      </c>
      <c r="F708">
        <v>12</v>
      </c>
      <c r="G708" t="s">
        <v>1863</v>
      </c>
    </row>
    <row r="709" spans="1:7" x14ac:dyDescent="0.25">
      <c r="A709" s="69" t="s">
        <v>98</v>
      </c>
      <c r="B709" s="71">
        <v>42825</v>
      </c>
      <c r="C709">
        <v>-2154</v>
      </c>
      <c r="D709" t="s">
        <v>1840</v>
      </c>
      <c r="E709" t="s">
        <v>1846</v>
      </c>
      <c r="F709">
        <v>3</v>
      </c>
      <c r="G709" t="s">
        <v>1860</v>
      </c>
    </row>
    <row r="710" spans="1:7" x14ac:dyDescent="0.25">
      <c r="A710" s="69" t="s">
        <v>98</v>
      </c>
      <c r="B710" s="71">
        <v>42916</v>
      </c>
      <c r="C710">
        <v>-2222</v>
      </c>
      <c r="D710" t="s">
        <v>1840</v>
      </c>
      <c r="E710" t="s">
        <v>1847</v>
      </c>
      <c r="F710">
        <v>6</v>
      </c>
      <c r="G710" t="s">
        <v>1861</v>
      </c>
    </row>
    <row r="711" spans="1:7" x14ac:dyDescent="0.25">
      <c r="A711" s="69" t="s">
        <v>98</v>
      </c>
      <c r="B711" s="71">
        <v>43008</v>
      </c>
      <c r="C711">
        <v>-2107</v>
      </c>
      <c r="D711" t="s">
        <v>1840</v>
      </c>
      <c r="E711" t="s">
        <v>1848</v>
      </c>
      <c r="F711">
        <v>9</v>
      </c>
      <c r="G711" t="s">
        <v>1862</v>
      </c>
    </row>
    <row r="712" spans="1:7" x14ac:dyDescent="0.25">
      <c r="A712" s="69" t="s">
        <v>98</v>
      </c>
      <c r="B712" s="71">
        <v>43100</v>
      </c>
      <c r="C712">
        <v>-4063</v>
      </c>
      <c r="D712" t="s">
        <v>1840</v>
      </c>
      <c r="E712" t="s">
        <v>1849</v>
      </c>
      <c r="F712">
        <v>12</v>
      </c>
      <c r="G712" t="s">
        <v>1863</v>
      </c>
    </row>
    <row r="713" spans="1:7" x14ac:dyDescent="0.25">
      <c r="A713" s="69" t="s">
        <v>98</v>
      </c>
      <c r="B713" s="71">
        <v>43190</v>
      </c>
      <c r="C713">
        <v>-1954</v>
      </c>
      <c r="D713" t="s">
        <v>1841</v>
      </c>
      <c r="E713" t="s">
        <v>1846</v>
      </c>
      <c r="F713">
        <v>3</v>
      </c>
      <c r="G713" t="s">
        <v>1860</v>
      </c>
    </row>
    <row r="714" spans="1:7" x14ac:dyDescent="0.25">
      <c r="A714" s="69" t="s">
        <v>98</v>
      </c>
      <c r="B714" s="71">
        <v>43281</v>
      </c>
      <c r="C714">
        <v>-2136</v>
      </c>
      <c r="D714" t="s">
        <v>1841</v>
      </c>
      <c r="E714" t="s">
        <v>1847</v>
      </c>
      <c r="F714">
        <v>6</v>
      </c>
      <c r="G714" t="s">
        <v>1861</v>
      </c>
    </row>
    <row r="715" spans="1:7" x14ac:dyDescent="0.25">
      <c r="A715" s="69" t="s">
        <v>98</v>
      </c>
      <c r="B715" s="71">
        <v>43373</v>
      </c>
      <c r="C715">
        <v>-2484</v>
      </c>
      <c r="D715" t="s">
        <v>1841</v>
      </c>
      <c r="E715" t="s">
        <v>1848</v>
      </c>
      <c r="F715">
        <v>9</v>
      </c>
      <c r="G715" t="s">
        <v>1862</v>
      </c>
    </row>
    <row r="716" spans="1:7" x14ac:dyDescent="0.25">
      <c r="A716" s="69" t="s">
        <v>98</v>
      </c>
      <c r="B716" s="71">
        <v>43465</v>
      </c>
      <c r="C716">
        <v>-2855</v>
      </c>
      <c r="D716" t="s">
        <v>1841</v>
      </c>
      <c r="E716" t="s">
        <v>1849</v>
      </c>
      <c r="F716">
        <v>12</v>
      </c>
      <c r="G716" t="s">
        <v>1863</v>
      </c>
    </row>
    <row r="717" spans="1:7" x14ac:dyDescent="0.25">
      <c r="A717" s="69" t="s">
        <v>98</v>
      </c>
      <c r="B717" s="71">
        <v>43555</v>
      </c>
      <c r="C717">
        <v>-5442</v>
      </c>
      <c r="D717" t="s">
        <v>1842</v>
      </c>
      <c r="E717" t="s">
        <v>1846</v>
      </c>
      <c r="F717">
        <v>3</v>
      </c>
      <c r="G717" t="s">
        <v>1860</v>
      </c>
    </row>
    <row r="718" spans="1:7" x14ac:dyDescent="0.25">
      <c r="A718" s="69" t="s">
        <v>98</v>
      </c>
      <c r="B718" s="71">
        <v>43646</v>
      </c>
      <c r="C718">
        <v>-5409</v>
      </c>
      <c r="D718" t="s">
        <v>1842</v>
      </c>
      <c r="E718" t="s">
        <v>1847</v>
      </c>
      <c r="F718">
        <v>6</v>
      </c>
      <c r="G718" t="s">
        <v>1861</v>
      </c>
    </row>
    <row r="719" spans="1:7" x14ac:dyDescent="0.25">
      <c r="A719" s="69" t="s">
        <v>98</v>
      </c>
      <c r="B719" s="71">
        <v>43738</v>
      </c>
      <c r="C719">
        <v>-5457</v>
      </c>
      <c r="D719" t="s">
        <v>1842</v>
      </c>
      <c r="E719" t="s">
        <v>1848</v>
      </c>
      <c r="F719">
        <v>9</v>
      </c>
      <c r="G719" t="s">
        <v>1862</v>
      </c>
    </row>
    <row r="720" spans="1:7" x14ac:dyDescent="0.25">
      <c r="A720" s="69" t="s">
        <v>98</v>
      </c>
      <c r="B720" s="71">
        <v>43830</v>
      </c>
      <c r="C720">
        <v>-6734</v>
      </c>
      <c r="D720" t="s">
        <v>1842</v>
      </c>
      <c r="E720" t="s">
        <v>1849</v>
      </c>
      <c r="F720">
        <v>12</v>
      </c>
      <c r="G720" t="s">
        <v>1863</v>
      </c>
    </row>
    <row r="721" spans="1:7" x14ac:dyDescent="0.25">
      <c r="A721" s="69" t="s">
        <v>98</v>
      </c>
      <c r="B721" s="71">
        <v>43921</v>
      </c>
      <c r="C721">
        <v>-6610</v>
      </c>
      <c r="D721" t="s">
        <v>1843</v>
      </c>
      <c r="E721" t="s">
        <v>1846</v>
      </c>
      <c r="F721">
        <v>3</v>
      </c>
      <c r="G721" t="s">
        <v>1860</v>
      </c>
    </row>
    <row r="722" spans="1:7" x14ac:dyDescent="0.25">
      <c r="A722" s="69" t="s">
        <v>98</v>
      </c>
      <c r="B722" s="71">
        <v>44012</v>
      </c>
      <c r="C722">
        <v>-5837</v>
      </c>
      <c r="D722" t="s">
        <v>1843</v>
      </c>
      <c r="E722" t="s">
        <v>1847</v>
      </c>
      <c r="F722">
        <v>6</v>
      </c>
      <c r="G722" t="s">
        <v>1861</v>
      </c>
    </row>
    <row r="723" spans="1:7" x14ac:dyDescent="0.25">
      <c r="A723" s="69" t="s">
        <v>98</v>
      </c>
      <c r="B723" s="71">
        <v>44104</v>
      </c>
      <c r="C723">
        <v>-5930</v>
      </c>
      <c r="D723" t="s">
        <v>1843</v>
      </c>
      <c r="E723" t="s">
        <v>1848</v>
      </c>
      <c r="F723">
        <v>9</v>
      </c>
      <c r="G723" t="s">
        <v>1862</v>
      </c>
    </row>
    <row r="724" spans="1:7" x14ac:dyDescent="0.25">
      <c r="A724" s="69" t="s">
        <v>98</v>
      </c>
      <c r="B724" s="71">
        <v>44196</v>
      </c>
      <c r="C724">
        <v>-5662</v>
      </c>
      <c r="D724" t="s">
        <v>1843</v>
      </c>
      <c r="E724" t="s">
        <v>1849</v>
      </c>
      <c r="F724">
        <v>12</v>
      </c>
      <c r="G724" t="s">
        <v>1863</v>
      </c>
    </row>
    <row r="725" spans="1:7" x14ac:dyDescent="0.25">
      <c r="A725" s="69" t="s">
        <v>98</v>
      </c>
      <c r="B725" s="71">
        <v>44286</v>
      </c>
      <c r="C725">
        <v>-6454</v>
      </c>
      <c r="D725" t="s">
        <v>1844</v>
      </c>
      <c r="E725" t="s">
        <v>1846</v>
      </c>
      <c r="F725">
        <v>3</v>
      </c>
      <c r="G725" t="s">
        <v>1860</v>
      </c>
    </row>
    <row r="726" spans="1:7" x14ac:dyDescent="0.25">
      <c r="A726" s="69" t="s">
        <v>98</v>
      </c>
      <c r="B726" s="71">
        <v>44377</v>
      </c>
      <c r="C726">
        <v>-6587</v>
      </c>
      <c r="D726" t="s">
        <v>1844</v>
      </c>
      <c r="E726" t="s">
        <v>1847</v>
      </c>
      <c r="F726">
        <v>6</v>
      </c>
      <c r="G726" t="s">
        <v>1861</v>
      </c>
    </row>
    <row r="727" spans="1:7" x14ac:dyDescent="0.25">
      <c r="A727" s="69" t="s">
        <v>98</v>
      </c>
      <c r="B727" s="71">
        <v>44469</v>
      </c>
      <c r="C727">
        <v>-5764</v>
      </c>
      <c r="D727" t="s">
        <v>1844</v>
      </c>
      <c r="E727" t="s">
        <v>1848</v>
      </c>
      <c r="F727">
        <v>9</v>
      </c>
      <c r="G727" t="s">
        <v>1862</v>
      </c>
    </row>
    <row r="728" spans="1:7" x14ac:dyDescent="0.25">
      <c r="A728" s="69" t="s">
        <v>98</v>
      </c>
      <c r="B728" s="71">
        <v>44561</v>
      </c>
      <c r="C728">
        <v>-6893</v>
      </c>
      <c r="D728" t="s">
        <v>1844</v>
      </c>
      <c r="E728" t="s">
        <v>1849</v>
      </c>
      <c r="F728">
        <v>12</v>
      </c>
      <c r="G728" t="s">
        <v>1863</v>
      </c>
    </row>
    <row r="729" spans="1:7" x14ac:dyDescent="0.25">
      <c r="A729" s="69" t="s">
        <v>98</v>
      </c>
      <c r="B729" s="71">
        <v>44651</v>
      </c>
      <c r="C729">
        <v>-6140</v>
      </c>
      <c r="D729" t="s">
        <v>1845</v>
      </c>
      <c r="E729" t="s">
        <v>1846</v>
      </c>
      <c r="F729">
        <v>3</v>
      </c>
      <c r="G729" t="s">
        <v>1860</v>
      </c>
    </row>
    <row r="730" spans="1:7" x14ac:dyDescent="0.25">
      <c r="A730" s="69" t="s">
        <v>98</v>
      </c>
      <c r="B730" s="71">
        <v>44742</v>
      </c>
      <c r="C730">
        <v>-6188</v>
      </c>
      <c r="D730" t="s">
        <v>1845</v>
      </c>
      <c r="E730" t="s">
        <v>1847</v>
      </c>
      <c r="F730">
        <v>6</v>
      </c>
      <c r="G730" t="s">
        <v>1861</v>
      </c>
    </row>
    <row r="731" spans="1:7" x14ac:dyDescent="0.25">
      <c r="A731" s="69" t="s">
        <v>98</v>
      </c>
      <c r="B731" s="71">
        <v>44834</v>
      </c>
      <c r="C731">
        <v>-6432</v>
      </c>
      <c r="D731" t="s">
        <v>1845</v>
      </c>
      <c r="E731" t="s">
        <v>1848</v>
      </c>
      <c r="F731">
        <v>9</v>
      </c>
      <c r="G731" t="s">
        <v>1862</v>
      </c>
    </row>
    <row r="732" spans="1:7" x14ac:dyDescent="0.25">
      <c r="A732" s="69" t="s">
        <v>98</v>
      </c>
      <c r="B732" s="71">
        <v>44926</v>
      </c>
      <c r="C732">
        <v>-6414</v>
      </c>
      <c r="D732" t="s">
        <v>1845</v>
      </c>
      <c r="E732" t="s">
        <v>1849</v>
      </c>
      <c r="F732">
        <v>12</v>
      </c>
      <c r="G732" t="s">
        <v>1863</v>
      </c>
    </row>
    <row r="733" spans="1:7" x14ac:dyDescent="0.25">
      <c r="A733" s="69" t="s">
        <v>101</v>
      </c>
      <c r="B733" s="71">
        <v>42460</v>
      </c>
      <c r="C733">
        <v>1702</v>
      </c>
      <c r="D733" t="s">
        <v>1839</v>
      </c>
      <c r="E733" t="s">
        <v>1846</v>
      </c>
      <c r="F733">
        <v>3</v>
      </c>
      <c r="G733" t="s">
        <v>1860</v>
      </c>
    </row>
    <row r="734" spans="1:7" x14ac:dyDescent="0.25">
      <c r="A734" s="69" t="s">
        <v>101</v>
      </c>
      <c r="B734" s="71">
        <v>42551</v>
      </c>
      <c r="C734">
        <v>987</v>
      </c>
      <c r="D734" t="s">
        <v>1839</v>
      </c>
      <c r="E734" t="s">
        <v>1847</v>
      </c>
      <c r="F734">
        <v>6</v>
      </c>
      <c r="G734" t="s">
        <v>1861</v>
      </c>
    </row>
    <row r="735" spans="1:7" x14ac:dyDescent="0.25">
      <c r="A735" s="69" t="s">
        <v>101</v>
      </c>
      <c r="B735" s="71">
        <v>42643</v>
      </c>
      <c r="C735">
        <v>-2984</v>
      </c>
      <c r="D735" t="s">
        <v>1839</v>
      </c>
      <c r="E735" t="s">
        <v>1848</v>
      </c>
      <c r="F735">
        <v>9</v>
      </c>
      <c r="G735" t="s">
        <v>1862</v>
      </c>
    </row>
    <row r="736" spans="1:7" x14ac:dyDescent="0.25">
      <c r="A736" s="69" t="s">
        <v>101</v>
      </c>
      <c r="B736" s="71">
        <v>42735</v>
      </c>
      <c r="C736">
        <v>741</v>
      </c>
      <c r="D736" t="s">
        <v>1839</v>
      </c>
      <c r="E736" t="s">
        <v>1849</v>
      </c>
      <c r="F736">
        <v>12</v>
      </c>
      <c r="G736" t="s">
        <v>1863</v>
      </c>
    </row>
    <row r="737" spans="1:7" x14ac:dyDescent="0.25">
      <c r="A737" s="69" t="s">
        <v>101</v>
      </c>
      <c r="B737" s="71">
        <v>42825</v>
      </c>
      <c r="C737">
        <v>2583</v>
      </c>
      <c r="D737" t="s">
        <v>1840</v>
      </c>
      <c r="E737" t="s">
        <v>1846</v>
      </c>
      <c r="F737">
        <v>3</v>
      </c>
      <c r="G737" t="s">
        <v>1860</v>
      </c>
    </row>
    <row r="738" spans="1:7" x14ac:dyDescent="0.25">
      <c r="A738" s="69" t="s">
        <v>101</v>
      </c>
      <c r="B738" s="71">
        <v>42916</v>
      </c>
      <c r="C738">
        <v>-466</v>
      </c>
      <c r="D738" t="s">
        <v>1840</v>
      </c>
      <c r="E738" t="s">
        <v>1847</v>
      </c>
      <c r="F738">
        <v>6</v>
      </c>
      <c r="G738" t="s">
        <v>1861</v>
      </c>
    </row>
    <row r="739" spans="1:7" x14ac:dyDescent="0.25">
      <c r="A739" s="69" t="s">
        <v>101</v>
      </c>
      <c r="B739" s="71">
        <v>43008</v>
      </c>
      <c r="C739">
        <v>-650</v>
      </c>
      <c r="D739" t="s">
        <v>1840</v>
      </c>
      <c r="E739" t="s">
        <v>1848</v>
      </c>
      <c r="F739">
        <v>9</v>
      </c>
      <c r="G739" t="s">
        <v>1862</v>
      </c>
    </row>
    <row r="740" spans="1:7" x14ac:dyDescent="0.25">
      <c r="A740" s="69" t="s">
        <v>101</v>
      </c>
      <c r="B740" s="71">
        <v>43100</v>
      </c>
      <c r="C740">
        <v>433</v>
      </c>
      <c r="D740" t="s">
        <v>1840</v>
      </c>
      <c r="E740" t="s">
        <v>1849</v>
      </c>
      <c r="F740">
        <v>12</v>
      </c>
      <c r="G740" t="s">
        <v>1863</v>
      </c>
    </row>
    <row r="741" spans="1:7" x14ac:dyDescent="0.25">
      <c r="A741" s="69" t="s">
        <v>101</v>
      </c>
      <c r="B741" s="71">
        <v>43190</v>
      </c>
      <c r="C741">
        <v>268</v>
      </c>
      <c r="D741" t="s">
        <v>1841</v>
      </c>
      <c r="E741" t="s">
        <v>1846</v>
      </c>
      <c r="F741">
        <v>3</v>
      </c>
      <c r="G741" t="s">
        <v>1860</v>
      </c>
    </row>
    <row r="742" spans="1:7" x14ac:dyDescent="0.25">
      <c r="A742" s="69" t="s">
        <v>101</v>
      </c>
      <c r="B742" s="71">
        <v>43281</v>
      </c>
      <c r="C742">
        <v>-1870</v>
      </c>
      <c r="D742" t="s">
        <v>1841</v>
      </c>
      <c r="E742" t="s">
        <v>1847</v>
      </c>
      <c r="F742">
        <v>6</v>
      </c>
      <c r="G742" t="s">
        <v>1861</v>
      </c>
    </row>
    <row r="743" spans="1:7" x14ac:dyDescent="0.25">
      <c r="A743" s="69" t="s">
        <v>101</v>
      </c>
      <c r="B743" s="71">
        <v>43373</v>
      </c>
      <c r="C743">
        <v>-1363</v>
      </c>
      <c r="D743" t="s">
        <v>1841</v>
      </c>
      <c r="E743" t="s">
        <v>1848</v>
      </c>
      <c r="F743">
        <v>9</v>
      </c>
      <c r="G743" t="s">
        <v>1862</v>
      </c>
    </row>
    <row r="744" spans="1:7" x14ac:dyDescent="0.25">
      <c r="A744" s="69" t="s">
        <v>101</v>
      </c>
      <c r="B744" s="71">
        <v>43465</v>
      </c>
      <c r="C744">
        <v>-3063</v>
      </c>
      <c r="D744" t="s">
        <v>1841</v>
      </c>
      <c r="E744" t="s">
        <v>1849</v>
      </c>
      <c r="F744">
        <v>12</v>
      </c>
      <c r="G744" t="s">
        <v>1863</v>
      </c>
    </row>
    <row r="745" spans="1:7" x14ac:dyDescent="0.25">
      <c r="A745" s="69" t="s">
        <v>101</v>
      </c>
      <c r="B745" s="71">
        <v>43555</v>
      </c>
      <c r="C745">
        <v>5158</v>
      </c>
      <c r="D745" t="s">
        <v>1842</v>
      </c>
      <c r="E745" t="s">
        <v>1846</v>
      </c>
      <c r="F745">
        <v>3</v>
      </c>
      <c r="G745" t="s">
        <v>1860</v>
      </c>
    </row>
    <row r="746" spans="1:7" x14ac:dyDescent="0.25">
      <c r="A746" s="69" t="s">
        <v>101</v>
      </c>
      <c r="B746" s="71">
        <v>43646</v>
      </c>
      <c r="C746">
        <v>2599</v>
      </c>
      <c r="D746" t="s">
        <v>1842</v>
      </c>
      <c r="E746" t="s">
        <v>1847</v>
      </c>
      <c r="F746">
        <v>6</v>
      </c>
      <c r="G746" t="s">
        <v>1861</v>
      </c>
    </row>
    <row r="747" spans="1:7" x14ac:dyDescent="0.25">
      <c r="A747" s="69" t="s">
        <v>101</v>
      </c>
      <c r="B747" s="71">
        <v>43738</v>
      </c>
      <c r="C747">
        <v>-8905</v>
      </c>
      <c r="D747" t="s">
        <v>1842</v>
      </c>
      <c r="E747" t="s">
        <v>1848</v>
      </c>
      <c r="F747">
        <v>9</v>
      </c>
      <c r="G747" t="s">
        <v>1862</v>
      </c>
    </row>
    <row r="748" spans="1:7" x14ac:dyDescent="0.25">
      <c r="A748" s="69" t="s">
        <v>101</v>
      </c>
      <c r="B748" s="71">
        <v>43830</v>
      </c>
      <c r="C748">
        <v>3412</v>
      </c>
      <c r="D748" t="s">
        <v>1842</v>
      </c>
      <c r="E748" t="s">
        <v>1849</v>
      </c>
      <c r="F748">
        <v>12</v>
      </c>
      <c r="G748" t="s">
        <v>1863</v>
      </c>
    </row>
    <row r="749" spans="1:7" x14ac:dyDescent="0.25">
      <c r="A749" s="69" t="s">
        <v>101</v>
      </c>
      <c r="B749" s="71">
        <v>43921</v>
      </c>
      <c r="C749">
        <v>-12989</v>
      </c>
      <c r="D749" t="s">
        <v>1843</v>
      </c>
      <c r="E749" t="s">
        <v>1846</v>
      </c>
      <c r="F749">
        <v>3</v>
      </c>
      <c r="G749" t="s">
        <v>1860</v>
      </c>
    </row>
    <row r="750" spans="1:7" x14ac:dyDescent="0.25">
      <c r="A750" s="69" t="s">
        <v>101</v>
      </c>
      <c r="B750" s="71">
        <v>44012</v>
      </c>
      <c r="C750">
        <v>-10758</v>
      </c>
      <c r="D750" t="s">
        <v>1843</v>
      </c>
      <c r="E750" t="s">
        <v>1847</v>
      </c>
      <c r="F750">
        <v>6</v>
      </c>
      <c r="G750" t="s">
        <v>1861</v>
      </c>
    </row>
    <row r="751" spans="1:7" x14ac:dyDescent="0.25">
      <c r="A751" s="69" t="s">
        <v>101</v>
      </c>
      <c r="B751" s="71">
        <v>44104</v>
      </c>
      <c r="C751">
        <v>-3585</v>
      </c>
      <c r="D751" t="s">
        <v>1843</v>
      </c>
      <c r="E751" t="s">
        <v>1848</v>
      </c>
      <c r="F751">
        <v>9</v>
      </c>
      <c r="G751" t="s">
        <v>1862</v>
      </c>
    </row>
    <row r="752" spans="1:7" x14ac:dyDescent="0.25">
      <c r="A752" s="69" t="s">
        <v>101</v>
      </c>
      <c r="B752" s="71">
        <v>44196</v>
      </c>
      <c r="C752">
        <v>-1591</v>
      </c>
      <c r="D752" t="s">
        <v>1843</v>
      </c>
      <c r="E752" t="s">
        <v>1849</v>
      </c>
      <c r="F752">
        <v>12</v>
      </c>
      <c r="G752" t="s">
        <v>1863</v>
      </c>
    </row>
    <row r="753" spans="1:7" x14ac:dyDescent="0.25">
      <c r="A753" s="69" t="s">
        <v>101</v>
      </c>
      <c r="B753" s="71">
        <v>44286</v>
      </c>
      <c r="C753">
        <v>-12278</v>
      </c>
      <c r="D753" t="s">
        <v>1844</v>
      </c>
      <c r="E753" t="s">
        <v>1846</v>
      </c>
      <c r="F753">
        <v>3</v>
      </c>
      <c r="G753" t="s">
        <v>1860</v>
      </c>
    </row>
    <row r="754" spans="1:7" x14ac:dyDescent="0.25">
      <c r="A754" s="69" t="s">
        <v>101</v>
      </c>
      <c r="B754" s="71">
        <v>44377</v>
      </c>
      <c r="C754">
        <v>-10014</v>
      </c>
      <c r="D754" t="s">
        <v>1844</v>
      </c>
      <c r="E754" t="s">
        <v>1847</v>
      </c>
      <c r="F754">
        <v>6</v>
      </c>
      <c r="G754" t="s">
        <v>1861</v>
      </c>
    </row>
    <row r="755" spans="1:7" x14ac:dyDescent="0.25">
      <c r="A755" s="69" t="s">
        <v>101</v>
      </c>
      <c r="B755" s="71">
        <v>44469</v>
      </c>
      <c r="C755">
        <v>-25761</v>
      </c>
      <c r="D755" t="s">
        <v>1844</v>
      </c>
      <c r="E755" t="s">
        <v>1848</v>
      </c>
      <c r="F755">
        <v>9</v>
      </c>
      <c r="G755" t="s">
        <v>1862</v>
      </c>
    </row>
    <row r="756" spans="1:7" x14ac:dyDescent="0.25">
      <c r="A756" s="69" t="s">
        <v>101</v>
      </c>
      <c r="B756" s="71">
        <v>44561</v>
      </c>
      <c r="C756">
        <v>13086</v>
      </c>
      <c r="D756" t="s">
        <v>1844</v>
      </c>
      <c r="E756" t="s">
        <v>1849</v>
      </c>
      <c r="F756">
        <v>12</v>
      </c>
      <c r="G756" t="s">
        <v>1863</v>
      </c>
    </row>
    <row r="757" spans="1:7" x14ac:dyDescent="0.25">
      <c r="A757" s="69" t="s">
        <v>101</v>
      </c>
      <c r="B757" s="71">
        <v>44651</v>
      </c>
      <c r="C757">
        <v>28341</v>
      </c>
      <c r="D757" t="s">
        <v>1845</v>
      </c>
      <c r="E757" t="s">
        <v>1846</v>
      </c>
      <c r="F757">
        <v>3</v>
      </c>
      <c r="G757" t="s">
        <v>1860</v>
      </c>
    </row>
    <row r="758" spans="1:7" x14ac:dyDescent="0.25">
      <c r="A758" s="69" t="s">
        <v>101</v>
      </c>
      <c r="B758" s="71">
        <v>44742</v>
      </c>
      <c r="C758">
        <v>-12208</v>
      </c>
      <c r="D758" t="s">
        <v>1845</v>
      </c>
      <c r="E758" t="s">
        <v>1847</v>
      </c>
      <c r="F758">
        <v>6</v>
      </c>
      <c r="G758" t="s">
        <v>1861</v>
      </c>
    </row>
    <row r="759" spans="1:7" x14ac:dyDescent="0.25">
      <c r="A759" s="69" t="s">
        <v>101</v>
      </c>
      <c r="B759" s="71">
        <v>44834</v>
      </c>
      <c r="C759">
        <v>-12913</v>
      </c>
      <c r="D759" t="s">
        <v>1845</v>
      </c>
      <c r="E759" t="s">
        <v>1848</v>
      </c>
      <c r="F759">
        <v>9</v>
      </c>
      <c r="G759" t="s">
        <v>1862</v>
      </c>
    </row>
    <row r="760" spans="1:7" x14ac:dyDescent="0.25">
      <c r="A760" s="69" t="s">
        <v>101</v>
      </c>
      <c r="B760" s="71">
        <v>44926</v>
      </c>
      <c r="C760">
        <v>13358</v>
      </c>
      <c r="D760" t="s">
        <v>1845</v>
      </c>
      <c r="E760" t="s">
        <v>1849</v>
      </c>
      <c r="F760">
        <v>12</v>
      </c>
      <c r="G760" t="s">
        <v>1863</v>
      </c>
    </row>
    <row r="761" spans="1:7" x14ac:dyDescent="0.25">
      <c r="A761" s="69" t="s">
        <v>103</v>
      </c>
      <c r="B761" s="71">
        <v>42735</v>
      </c>
      <c r="C761">
        <v>-233</v>
      </c>
      <c r="D761" t="s">
        <v>1839</v>
      </c>
      <c r="E761" t="s">
        <v>1849</v>
      </c>
      <c r="F761">
        <v>12</v>
      </c>
      <c r="G761" t="s">
        <v>1863</v>
      </c>
    </row>
    <row r="762" spans="1:7" x14ac:dyDescent="0.25">
      <c r="A762" s="69" t="s">
        <v>103</v>
      </c>
      <c r="B762" s="71">
        <v>44196</v>
      </c>
      <c r="C762">
        <v>-482</v>
      </c>
      <c r="D762" t="s">
        <v>1843</v>
      </c>
      <c r="E762" t="s">
        <v>1849</v>
      </c>
      <c r="F762">
        <v>12</v>
      </c>
      <c r="G762" t="s">
        <v>1863</v>
      </c>
    </row>
    <row r="763" spans="1:7" x14ac:dyDescent="0.25">
      <c r="A763" s="69" t="s">
        <v>1723</v>
      </c>
      <c r="B763" s="71">
        <v>42643</v>
      </c>
      <c r="C763">
        <v>-495</v>
      </c>
      <c r="D763" t="s">
        <v>1839</v>
      </c>
      <c r="E763" t="s">
        <v>1848</v>
      </c>
      <c r="F763">
        <v>9</v>
      </c>
      <c r="G763" t="s">
        <v>1862</v>
      </c>
    </row>
    <row r="764" spans="1:7" x14ac:dyDescent="0.25">
      <c r="A764" s="69" t="s">
        <v>1723</v>
      </c>
      <c r="B764" s="71">
        <v>42735</v>
      </c>
      <c r="C764">
        <v>-2205</v>
      </c>
      <c r="D764" t="s">
        <v>1839</v>
      </c>
      <c r="E764" t="s">
        <v>1849</v>
      </c>
      <c r="F764">
        <v>12</v>
      </c>
      <c r="G764" t="s">
        <v>1863</v>
      </c>
    </row>
    <row r="765" spans="1:7" x14ac:dyDescent="0.25">
      <c r="A765" s="69" t="s">
        <v>1723</v>
      </c>
      <c r="B765" s="71">
        <v>42916</v>
      </c>
      <c r="C765">
        <v>-60</v>
      </c>
      <c r="D765" t="s">
        <v>1840</v>
      </c>
      <c r="E765" t="s">
        <v>1847</v>
      </c>
      <c r="F765">
        <v>6</v>
      </c>
      <c r="G765" t="s">
        <v>1861</v>
      </c>
    </row>
    <row r="766" spans="1:7" x14ac:dyDescent="0.25">
      <c r="A766" s="69" t="s">
        <v>1723</v>
      </c>
      <c r="B766" s="71">
        <v>43008</v>
      </c>
      <c r="C766">
        <v>50</v>
      </c>
      <c r="D766" t="s">
        <v>1840</v>
      </c>
      <c r="E766" t="s">
        <v>1848</v>
      </c>
      <c r="F766">
        <v>9</v>
      </c>
      <c r="G766" t="s">
        <v>1862</v>
      </c>
    </row>
    <row r="767" spans="1:7" x14ac:dyDescent="0.25">
      <c r="A767" s="69" t="s">
        <v>1723</v>
      </c>
      <c r="B767" s="71">
        <v>43100</v>
      </c>
      <c r="C767">
        <v>-43</v>
      </c>
      <c r="D767" t="s">
        <v>1840</v>
      </c>
      <c r="E767" t="s">
        <v>1849</v>
      </c>
      <c r="F767">
        <v>12</v>
      </c>
      <c r="G767" t="s">
        <v>1863</v>
      </c>
    </row>
    <row r="768" spans="1:7" x14ac:dyDescent="0.25">
      <c r="A768" s="69" t="s">
        <v>1723</v>
      </c>
      <c r="B768" s="71">
        <v>43190</v>
      </c>
      <c r="C768">
        <v>-120</v>
      </c>
      <c r="D768" t="s">
        <v>1841</v>
      </c>
      <c r="E768" t="s">
        <v>1846</v>
      </c>
      <c r="F768">
        <v>3</v>
      </c>
      <c r="G768" t="s">
        <v>1860</v>
      </c>
    </row>
    <row r="769" spans="1:7" x14ac:dyDescent="0.25">
      <c r="A769" s="69" t="s">
        <v>1723</v>
      </c>
      <c r="B769" s="71">
        <v>43281</v>
      </c>
      <c r="C769">
        <v>-180</v>
      </c>
      <c r="D769" t="s">
        <v>1841</v>
      </c>
      <c r="E769" t="s">
        <v>1847</v>
      </c>
      <c r="F769">
        <v>6</v>
      </c>
      <c r="G769" t="s">
        <v>1861</v>
      </c>
    </row>
    <row r="770" spans="1:7" x14ac:dyDescent="0.25">
      <c r="A770" s="69" t="s">
        <v>1723</v>
      </c>
      <c r="B770" s="71">
        <v>43373</v>
      </c>
      <c r="C770">
        <v>-180</v>
      </c>
      <c r="D770" t="s">
        <v>1841</v>
      </c>
      <c r="E770" t="s">
        <v>1848</v>
      </c>
      <c r="F770">
        <v>9</v>
      </c>
      <c r="G770" t="s">
        <v>1862</v>
      </c>
    </row>
    <row r="771" spans="1:7" x14ac:dyDescent="0.25">
      <c r="A771" s="69" t="s">
        <v>1723</v>
      </c>
      <c r="B771" s="71">
        <v>43465</v>
      </c>
      <c r="C771">
        <v>480</v>
      </c>
      <c r="D771" t="s">
        <v>1841</v>
      </c>
      <c r="E771" t="s">
        <v>1849</v>
      </c>
      <c r="F771">
        <v>12</v>
      </c>
      <c r="G771" t="s">
        <v>1863</v>
      </c>
    </row>
    <row r="772" spans="1:7" x14ac:dyDescent="0.25">
      <c r="A772" s="69" t="s">
        <v>1723</v>
      </c>
      <c r="B772" s="71">
        <v>43555</v>
      </c>
      <c r="C772">
        <v>40</v>
      </c>
      <c r="D772" t="s">
        <v>1842</v>
      </c>
      <c r="E772" t="s">
        <v>1846</v>
      </c>
      <c r="F772">
        <v>3</v>
      </c>
      <c r="G772" t="s">
        <v>1860</v>
      </c>
    </row>
    <row r="773" spans="1:7" x14ac:dyDescent="0.25">
      <c r="A773" s="69" t="s">
        <v>1723</v>
      </c>
      <c r="B773" s="71">
        <v>43646</v>
      </c>
      <c r="C773">
        <v>-122</v>
      </c>
      <c r="D773" t="s">
        <v>1842</v>
      </c>
      <c r="E773" t="s">
        <v>1847</v>
      </c>
      <c r="F773">
        <v>6</v>
      </c>
      <c r="G773" t="s">
        <v>1861</v>
      </c>
    </row>
    <row r="774" spans="1:7" x14ac:dyDescent="0.25">
      <c r="A774" s="69" t="s">
        <v>1723</v>
      </c>
      <c r="B774" s="71">
        <v>43738</v>
      </c>
      <c r="C774">
        <v>-468</v>
      </c>
      <c r="D774" t="s">
        <v>1842</v>
      </c>
      <c r="E774" t="s">
        <v>1848</v>
      </c>
      <c r="F774">
        <v>9</v>
      </c>
      <c r="G774" t="s">
        <v>1862</v>
      </c>
    </row>
    <row r="775" spans="1:7" x14ac:dyDescent="0.25">
      <c r="A775" s="69" t="s">
        <v>1723</v>
      </c>
      <c r="B775" s="71">
        <v>43830</v>
      </c>
      <c r="C775">
        <v>590</v>
      </c>
      <c r="D775" t="s">
        <v>1842</v>
      </c>
      <c r="E775" t="s">
        <v>1849</v>
      </c>
      <c r="F775">
        <v>12</v>
      </c>
      <c r="G775" t="s">
        <v>1863</v>
      </c>
    </row>
    <row r="776" spans="1:7" x14ac:dyDescent="0.25">
      <c r="A776" s="69" t="s">
        <v>1723</v>
      </c>
      <c r="B776" s="71">
        <v>43921</v>
      </c>
      <c r="C776">
        <v>861</v>
      </c>
      <c r="D776" t="s">
        <v>1843</v>
      </c>
      <c r="E776" t="s">
        <v>1846</v>
      </c>
      <c r="F776">
        <v>3</v>
      </c>
      <c r="G776" t="s">
        <v>1860</v>
      </c>
    </row>
    <row r="777" spans="1:7" x14ac:dyDescent="0.25">
      <c r="A777" s="69" t="s">
        <v>1723</v>
      </c>
      <c r="B777" s="71">
        <v>44012</v>
      </c>
      <c r="C777">
        <v>4347</v>
      </c>
      <c r="D777" t="s">
        <v>1843</v>
      </c>
      <c r="E777" t="s">
        <v>1847</v>
      </c>
      <c r="F777">
        <v>6</v>
      </c>
      <c r="G777" t="s">
        <v>1861</v>
      </c>
    </row>
    <row r="778" spans="1:7" x14ac:dyDescent="0.25">
      <c r="A778" s="69" t="s">
        <v>1723</v>
      </c>
      <c r="B778" s="71">
        <v>44286</v>
      </c>
      <c r="C778">
        <v>7985</v>
      </c>
      <c r="D778" t="s">
        <v>1844</v>
      </c>
      <c r="E778" t="s">
        <v>1846</v>
      </c>
      <c r="F778">
        <v>3</v>
      </c>
      <c r="G778" t="s">
        <v>1860</v>
      </c>
    </row>
    <row r="779" spans="1:7" x14ac:dyDescent="0.25">
      <c r="A779" s="69" t="s">
        <v>1723</v>
      </c>
      <c r="B779" s="71">
        <v>44377</v>
      </c>
      <c r="C779">
        <v>6914</v>
      </c>
      <c r="D779" t="s">
        <v>1844</v>
      </c>
      <c r="E779" t="s">
        <v>1847</v>
      </c>
      <c r="F779">
        <v>6</v>
      </c>
      <c r="G779" t="s">
        <v>1861</v>
      </c>
    </row>
    <row r="780" spans="1:7" x14ac:dyDescent="0.25">
      <c r="A780" s="69" t="s">
        <v>1723</v>
      </c>
      <c r="B780" s="71">
        <v>44469</v>
      </c>
      <c r="C780">
        <v>9744</v>
      </c>
      <c r="D780" t="s">
        <v>1844</v>
      </c>
      <c r="E780" t="s">
        <v>1848</v>
      </c>
      <c r="F780">
        <v>9</v>
      </c>
      <c r="G780" t="s">
        <v>1862</v>
      </c>
    </row>
    <row r="781" spans="1:7" x14ac:dyDescent="0.25">
      <c r="A781" s="69" t="s">
        <v>1723</v>
      </c>
      <c r="B781" s="71">
        <v>44561</v>
      </c>
      <c r="C781">
        <v>-951</v>
      </c>
      <c r="D781" t="s">
        <v>1844</v>
      </c>
      <c r="E781" t="s">
        <v>1849</v>
      </c>
      <c r="F781">
        <v>12</v>
      </c>
      <c r="G781" t="s">
        <v>1863</v>
      </c>
    </row>
    <row r="782" spans="1:7" x14ac:dyDescent="0.25">
      <c r="A782" s="69" t="s">
        <v>1723</v>
      </c>
      <c r="B782" s="71">
        <v>44834</v>
      </c>
      <c r="C782">
        <v>13197</v>
      </c>
      <c r="D782" t="s">
        <v>1845</v>
      </c>
      <c r="E782" t="s">
        <v>1848</v>
      </c>
      <c r="F782">
        <v>9</v>
      </c>
      <c r="G782" t="s">
        <v>1862</v>
      </c>
    </row>
    <row r="783" spans="1:7" x14ac:dyDescent="0.25">
      <c r="A783" s="69" t="s">
        <v>1723</v>
      </c>
      <c r="B783" s="71">
        <v>44926</v>
      </c>
      <c r="C783">
        <v>-17486</v>
      </c>
      <c r="D783" t="s">
        <v>1845</v>
      </c>
      <c r="E783" t="s">
        <v>1849</v>
      </c>
      <c r="F783">
        <v>12</v>
      </c>
      <c r="G783" t="s">
        <v>1863</v>
      </c>
    </row>
    <row r="784" spans="1:7" x14ac:dyDescent="0.25">
      <c r="A784" s="69" t="s">
        <v>13</v>
      </c>
      <c r="B784" s="71">
        <v>42460</v>
      </c>
      <c r="C784">
        <v>5267</v>
      </c>
      <c r="D784" t="s">
        <v>1839</v>
      </c>
      <c r="E784" t="s">
        <v>1846</v>
      </c>
      <c r="F784">
        <v>3</v>
      </c>
      <c r="G784" t="s">
        <v>1860</v>
      </c>
    </row>
    <row r="785" spans="1:7" x14ac:dyDescent="0.25">
      <c r="A785" s="69" t="s">
        <v>13</v>
      </c>
      <c r="B785" s="71">
        <v>42551</v>
      </c>
      <c r="C785">
        <v>3253</v>
      </c>
      <c r="D785" t="s">
        <v>1839</v>
      </c>
      <c r="E785" t="s">
        <v>1847</v>
      </c>
      <c r="F785">
        <v>6</v>
      </c>
      <c r="G785" t="s">
        <v>1861</v>
      </c>
    </row>
    <row r="786" spans="1:7" x14ac:dyDescent="0.25">
      <c r="A786" s="69" t="s">
        <v>13</v>
      </c>
      <c r="B786" s="71">
        <v>42643</v>
      </c>
      <c r="C786">
        <v>2052</v>
      </c>
      <c r="D786" t="s">
        <v>1839</v>
      </c>
      <c r="E786" t="s">
        <v>1848</v>
      </c>
      <c r="F786">
        <v>9</v>
      </c>
      <c r="G786" t="s">
        <v>1862</v>
      </c>
    </row>
    <row r="787" spans="1:7" x14ac:dyDescent="0.25">
      <c r="A787" s="69" t="s">
        <v>13</v>
      </c>
      <c r="B787" s="71">
        <v>42735</v>
      </c>
      <c r="C787">
        <v>2392</v>
      </c>
      <c r="D787" t="s">
        <v>1839</v>
      </c>
      <c r="E787" t="s">
        <v>1849</v>
      </c>
      <c r="F787">
        <v>12</v>
      </c>
      <c r="G787" t="s">
        <v>1863</v>
      </c>
    </row>
    <row r="788" spans="1:7" x14ac:dyDescent="0.25">
      <c r="A788" s="69" t="s">
        <v>13</v>
      </c>
      <c r="B788" s="71">
        <v>42825</v>
      </c>
      <c r="C788">
        <v>3751</v>
      </c>
      <c r="D788" t="s">
        <v>1840</v>
      </c>
      <c r="E788" t="s">
        <v>1846</v>
      </c>
      <c r="F788">
        <v>3</v>
      </c>
      <c r="G788" t="s">
        <v>1860</v>
      </c>
    </row>
    <row r="789" spans="1:7" x14ac:dyDescent="0.25">
      <c r="A789" s="69" t="s">
        <v>13</v>
      </c>
      <c r="B789" s="71">
        <v>42916</v>
      </c>
      <c r="C789">
        <v>4938</v>
      </c>
      <c r="D789" t="s">
        <v>1840</v>
      </c>
      <c r="E789" t="s">
        <v>1847</v>
      </c>
      <c r="F789">
        <v>6</v>
      </c>
      <c r="G789" t="s">
        <v>1861</v>
      </c>
    </row>
    <row r="790" spans="1:7" x14ac:dyDescent="0.25">
      <c r="A790" s="69" t="s">
        <v>13</v>
      </c>
      <c r="B790" s="71">
        <v>43008</v>
      </c>
      <c r="C790">
        <v>2130</v>
      </c>
      <c r="D790" t="s">
        <v>1840</v>
      </c>
      <c r="E790" t="s">
        <v>1848</v>
      </c>
      <c r="F790">
        <v>9</v>
      </c>
      <c r="G790" t="s">
        <v>1862</v>
      </c>
    </row>
    <row r="791" spans="1:7" x14ac:dyDescent="0.25">
      <c r="A791" s="69" t="s">
        <v>13</v>
      </c>
      <c r="B791" s="71">
        <v>43100</v>
      </c>
      <c r="C791">
        <v>14577</v>
      </c>
      <c r="D791" t="s">
        <v>1840</v>
      </c>
      <c r="E791" t="s">
        <v>1849</v>
      </c>
      <c r="F791">
        <v>12</v>
      </c>
      <c r="G791" t="s">
        <v>1863</v>
      </c>
    </row>
    <row r="792" spans="1:7" x14ac:dyDescent="0.25">
      <c r="A792" s="69" t="s">
        <v>13</v>
      </c>
      <c r="B792" s="71">
        <v>43190</v>
      </c>
      <c r="C792">
        <v>2462</v>
      </c>
      <c r="D792" t="s">
        <v>1841</v>
      </c>
      <c r="E792" t="s">
        <v>1846</v>
      </c>
      <c r="F792">
        <v>3</v>
      </c>
      <c r="G792" t="s">
        <v>1860</v>
      </c>
    </row>
    <row r="793" spans="1:7" x14ac:dyDescent="0.25">
      <c r="A793" s="69" t="s">
        <v>13</v>
      </c>
      <c r="B793" s="71">
        <v>43281</v>
      </c>
      <c r="C793">
        <v>6432</v>
      </c>
      <c r="D793" t="s">
        <v>1841</v>
      </c>
      <c r="E793" t="s">
        <v>1847</v>
      </c>
      <c r="F793">
        <v>6</v>
      </c>
      <c r="G793" t="s">
        <v>1861</v>
      </c>
    </row>
    <row r="794" spans="1:7" x14ac:dyDescent="0.25">
      <c r="A794" s="69" t="s">
        <v>13</v>
      </c>
      <c r="B794" s="71">
        <v>43373</v>
      </c>
      <c r="C794">
        <v>4147</v>
      </c>
      <c r="D794" t="s">
        <v>1841</v>
      </c>
      <c r="E794" t="s">
        <v>1848</v>
      </c>
      <c r="F794">
        <v>9</v>
      </c>
      <c r="G794" t="s">
        <v>1862</v>
      </c>
    </row>
    <row r="795" spans="1:7" x14ac:dyDescent="0.25">
      <c r="A795" s="69" t="s">
        <v>13</v>
      </c>
      <c r="B795" s="71">
        <v>43465</v>
      </c>
      <c r="C795">
        <v>3308</v>
      </c>
      <c r="D795" t="s">
        <v>1841</v>
      </c>
      <c r="E795" t="s">
        <v>1849</v>
      </c>
      <c r="F795">
        <v>12</v>
      </c>
      <c r="G795" t="s">
        <v>1863</v>
      </c>
    </row>
    <row r="796" spans="1:7" x14ac:dyDescent="0.25">
      <c r="A796" s="69" t="s">
        <v>13</v>
      </c>
      <c r="B796" s="71">
        <v>43555</v>
      </c>
      <c r="C796">
        <v>3992</v>
      </c>
      <c r="D796" t="s">
        <v>1842</v>
      </c>
      <c r="E796" t="s">
        <v>1846</v>
      </c>
      <c r="F796">
        <v>3</v>
      </c>
      <c r="G796" t="s">
        <v>1860</v>
      </c>
    </row>
    <row r="797" spans="1:7" x14ac:dyDescent="0.25">
      <c r="A797" s="69" t="s">
        <v>13</v>
      </c>
      <c r="B797" s="71">
        <v>43646</v>
      </c>
      <c r="C797">
        <v>5244</v>
      </c>
      <c r="D797" t="s">
        <v>1842</v>
      </c>
      <c r="E797" t="s">
        <v>1847</v>
      </c>
      <c r="F797">
        <v>6</v>
      </c>
      <c r="G797" t="s">
        <v>1861</v>
      </c>
    </row>
    <row r="798" spans="1:7" x14ac:dyDescent="0.25">
      <c r="A798" s="69" t="s">
        <v>13</v>
      </c>
      <c r="B798" s="71">
        <v>43738</v>
      </c>
      <c r="C798">
        <v>10518</v>
      </c>
      <c r="D798" t="s">
        <v>1842</v>
      </c>
      <c r="E798" t="s">
        <v>1848</v>
      </c>
      <c r="F798">
        <v>9</v>
      </c>
      <c r="G798" t="s">
        <v>1862</v>
      </c>
    </row>
    <row r="799" spans="1:7" x14ac:dyDescent="0.25">
      <c r="A799" s="69" t="s">
        <v>13</v>
      </c>
      <c r="B799" s="71">
        <v>43830</v>
      </c>
      <c r="C799">
        <v>53748</v>
      </c>
      <c r="D799" t="s">
        <v>1842</v>
      </c>
      <c r="E799" t="s">
        <v>1849</v>
      </c>
      <c r="F799">
        <v>12</v>
      </c>
      <c r="G799" t="s">
        <v>1863</v>
      </c>
    </row>
    <row r="800" spans="1:7" x14ac:dyDescent="0.25">
      <c r="A800" s="69" t="s">
        <v>13</v>
      </c>
      <c r="B800" s="71">
        <v>43921</v>
      </c>
      <c r="C800">
        <v>26243</v>
      </c>
      <c r="D800" t="s">
        <v>1843</v>
      </c>
      <c r="E800" t="s">
        <v>1846</v>
      </c>
      <c r="F800">
        <v>3</v>
      </c>
      <c r="G800" t="s">
        <v>1860</v>
      </c>
    </row>
    <row r="801" spans="1:7" x14ac:dyDescent="0.25">
      <c r="A801" s="69" t="s">
        <v>13</v>
      </c>
      <c r="B801" s="71">
        <v>44012</v>
      </c>
      <c r="C801">
        <v>19810</v>
      </c>
      <c r="D801" t="s">
        <v>1843</v>
      </c>
      <c r="E801" t="s">
        <v>1847</v>
      </c>
      <c r="F801">
        <v>6</v>
      </c>
      <c r="G801" t="s">
        <v>1861</v>
      </c>
    </row>
    <row r="802" spans="1:7" x14ac:dyDescent="0.25">
      <c r="A802" s="69" t="s">
        <v>13</v>
      </c>
      <c r="B802" s="71">
        <v>44104</v>
      </c>
      <c r="C802">
        <v>15888</v>
      </c>
      <c r="D802" t="s">
        <v>1843</v>
      </c>
      <c r="E802" t="s">
        <v>1848</v>
      </c>
      <c r="F802">
        <v>9</v>
      </c>
      <c r="G802" t="s">
        <v>1862</v>
      </c>
    </row>
    <row r="803" spans="1:7" x14ac:dyDescent="0.25">
      <c r="A803" s="69" t="s">
        <v>13</v>
      </c>
      <c r="B803" s="71">
        <v>44196</v>
      </c>
      <c r="C803">
        <v>18866</v>
      </c>
      <c r="D803" t="s">
        <v>1843</v>
      </c>
      <c r="E803" t="s">
        <v>1849</v>
      </c>
      <c r="F803">
        <v>12</v>
      </c>
      <c r="G803" t="s">
        <v>1863</v>
      </c>
    </row>
    <row r="804" spans="1:7" x14ac:dyDescent="0.25">
      <c r="A804" s="69" t="s">
        <v>13</v>
      </c>
      <c r="B804" s="71">
        <v>44286</v>
      </c>
      <c r="C804">
        <v>13086</v>
      </c>
      <c r="D804" t="s">
        <v>1844</v>
      </c>
      <c r="E804" t="s">
        <v>1846</v>
      </c>
      <c r="F804">
        <v>3</v>
      </c>
      <c r="G804" t="s">
        <v>1860</v>
      </c>
    </row>
    <row r="805" spans="1:7" x14ac:dyDescent="0.25">
      <c r="A805" s="69" t="s">
        <v>13</v>
      </c>
      <c r="B805" s="71">
        <v>44377</v>
      </c>
      <c r="C805">
        <v>10261</v>
      </c>
      <c r="D805" t="s">
        <v>1844</v>
      </c>
      <c r="E805" t="s">
        <v>1847</v>
      </c>
      <c r="F805">
        <v>6</v>
      </c>
      <c r="G805" t="s">
        <v>1861</v>
      </c>
    </row>
    <row r="806" spans="1:7" x14ac:dyDescent="0.25">
      <c r="A806" s="69" t="s">
        <v>13</v>
      </c>
      <c r="B806" s="71">
        <v>44469</v>
      </c>
      <c r="C806">
        <v>12388</v>
      </c>
      <c r="D806" t="s">
        <v>1844</v>
      </c>
      <c r="E806" t="s">
        <v>1848</v>
      </c>
      <c r="F806">
        <v>9</v>
      </c>
      <c r="G806" t="s">
        <v>1862</v>
      </c>
    </row>
    <row r="807" spans="1:7" x14ac:dyDescent="0.25">
      <c r="A807" s="69" t="s">
        <v>13</v>
      </c>
      <c r="B807" s="71">
        <v>44561</v>
      </c>
      <c r="C807">
        <v>12860</v>
      </c>
      <c r="D807" t="s">
        <v>1844</v>
      </c>
      <c r="E807" t="s">
        <v>1849</v>
      </c>
      <c r="F807">
        <v>12</v>
      </c>
      <c r="G807" t="s">
        <v>1863</v>
      </c>
    </row>
    <row r="808" spans="1:7" x14ac:dyDescent="0.25">
      <c r="A808" s="69" t="s">
        <v>13</v>
      </c>
      <c r="B808" s="71">
        <v>44651</v>
      </c>
      <c r="C808">
        <v>8359</v>
      </c>
      <c r="D808" t="s">
        <v>1845</v>
      </c>
      <c r="E808" t="s">
        <v>1846</v>
      </c>
      <c r="F808">
        <v>3</v>
      </c>
      <c r="G808" t="s">
        <v>1860</v>
      </c>
    </row>
    <row r="809" spans="1:7" x14ac:dyDescent="0.25">
      <c r="A809" s="69" t="s">
        <v>13</v>
      </c>
      <c r="B809" s="71">
        <v>44742</v>
      </c>
      <c r="C809">
        <v>6477</v>
      </c>
      <c r="D809" t="s">
        <v>1845</v>
      </c>
      <c r="E809" t="s">
        <v>1847</v>
      </c>
      <c r="F809">
        <v>6</v>
      </c>
      <c r="G809" t="s">
        <v>1861</v>
      </c>
    </row>
    <row r="810" spans="1:7" x14ac:dyDescent="0.25">
      <c r="A810" s="69" t="s">
        <v>13</v>
      </c>
      <c r="B810" s="71">
        <v>44834</v>
      </c>
      <c r="C810">
        <v>10650</v>
      </c>
      <c r="D810" t="s">
        <v>1845</v>
      </c>
      <c r="E810" t="s">
        <v>1848</v>
      </c>
      <c r="F810">
        <v>9</v>
      </c>
      <c r="G810" t="s">
        <v>1862</v>
      </c>
    </row>
    <row r="811" spans="1:7" x14ac:dyDescent="0.25">
      <c r="A811" s="69" t="s">
        <v>13</v>
      </c>
      <c r="B811" s="71">
        <v>44926</v>
      </c>
      <c r="C811">
        <v>10785</v>
      </c>
      <c r="D811" t="s">
        <v>1845</v>
      </c>
      <c r="E811" t="s">
        <v>1849</v>
      </c>
      <c r="F811">
        <v>12</v>
      </c>
      <c r="G811" t="s">
        <v>1863</v>
      </c>
    </row>
    <row r="812" spans="1:7" x14ac:dyDescent="0.25">
      <c r="A812" s="69" t="s">
        <v>14</v>
      </c>
      <c r="B812" s="71">
        <v>43830</v>
      </c>
      <c r="C812">
        <v>204</v>
      </c>
      <c r="D812" t="s">
        <v>1842</v>
      </c>
      <c r="E812" t="s">
        <v>1849</v>
      </c>
      <c r="F812">
        <v>12</v>
      </c>
      <c r="G812" t="s">
        <v>1863</v>
      </c>
    </row>
    <row r="813" spans="1:7" x14ac:dyDescent="0.25">
      <c r="A813" s="69" t="s">
        <v>15</v>
      </c>
      <c r="B813" s="71">
        <v>42460</v>
      </c>
      <c r="C813">
        <v>12638</v>
      </c>
      <c r="D813" t="s">
        <v>1839</v>
      </c>
      <c r="E813" t="s">
        <v>1846</v>
      </c>
      <c r="F813">
        <v>3</v>
      </c>
      <c r="G813" t="s">
        <v>1860</v>
      </c>
    </row>
    <row r="814" spans="1:7" x14ac:dyDescent="0.25">
      <c r="A814" s="69" t="s">
        <v>15</v>
      </c>
      <c r="B814" s="71">
        <v>42551</v>
      </c>
      <c r="C814">
        <v>16272</v>
      </c>
      <c r="D814" t="s">
        <v>1839</v>
      </c>
      <c r="E814" t="s">
        <v>1847</v>
      </c>
      <c r="F814">
        <v>6</v>
      </c>
      <c r="G814" t="s">
        <v>1861</v>
      </c>
    </row>
    <row r="815" spans="1:7" x14ac:dyDescent="0.25">
      <c r="A815" s="69" t="s">
        <v>15</v>
      </c>
      <c r="B815" s="71">
        <v>42643</v>
      </c>
      <c r="C815">
        <v>19133</v>
      </c>
      <c r="D815" t="s">
        <v>1839</v>
      </c>
      <c r="E815" t="s">
        <v>1848</v>
      </c>
      <c r="F815">
        <v>9</v>
      </c>
      <c r="G815" t="s">
        <v>1862</v>
      </c>
    </row>
    <row r="816" spans="1:7" x14ac:dyDescent="0.25">
      <c r="A816" s="69" t="s">
        <v>15</v>
      </c>
      <c r="B816" s="71">
        <v>42735</v>
      </c>
      <c r="C816">
        <v>20659</v>
      </c>
      <c r="D816" t="s">
        <v>1839</v>
      </c>
      <c r="E816" t="s">
        <v>1849</v>
      </c>
      <c r="F816">
        <v>12</v>
      </c>
      <c r="G816" t="s">
        <v>1863</v>
      </c>
    </row>
    <row r="817" spans="1:7" x14ac:dyDescent="0.25">
      <c r="A817" s="69" t="s">
        <v>15</v>
      </c>
      <c r="B817" s="71">
        <v>42825</v>
      </c>
      <c r="C817">
        <v>17817</v>
      </c>
      <c r="D817" t="s">
        <v>1840</v>
      </c>
      <c r="E817" t="s">
        <v>1846</v>
      </c>
      <c r="F817">
        <v>3</v>
      </c>
      <c r="G817" t="s">
        <v>1860</v>
      </c>
    </row>
    <row r="818" spans="1:7" x14ac:dyDescent="0.25">
      <c r="A818" s="69" t="s">
        <v>15</v>
      </c>
      <c r="B818" s="71">
        <v>42916</v>
      </c>
      <c r="C818">
        <v>21108</v>
      </c>
      <c r="D818" t="s">
        <v>1840</v>
      </c>
      <c r="E818" t="s">
        <v>1847</v>
      </c>
      <c r="F818">
        <v>6</v>
      </c>
      <c r="G818" t="s">
        <v>1861</v>
      </c>
    </row>
    <row r="819" spans="1:7" x14ac:dyDescent="0.25">
      <c r="A819" s="69" t="s">
        <v>15</v>
      </c>
      <c r="B819" s="71">
        <v>43008</v>
      </c>
      <c r="C819">
        <v>21414</v>
      </c>
      <c r="D819" t="s">
        <v>1840</v>
      </c>
      <c r="E819" t="s">
        <v>1848</v>
      </c>
      <c r="F819">
        <v>9</v>
      </c>
      <c r="G819" t="s">
        <v>1862</v>
      </c>
    </row>
    <row r="820" spans="1:7" x14ac:dyDescent="0.25">
      <c r="A820" s="69" t="s">
        <v>15</v>
      </c>
      <c r="B820" s="71">
        <v>43100</v>
      </c>
      <c r="C820">
        <v>22966</v>
      </c>
      <c r="D820" t="s">
        <v>1840</v>
      </c>
      <c r="E820" t="s">
        <v>1849</v>
      </c>
      <c r="F820">
        <v>12</v>
      </c>
      <c r="G820" t="s">
        <v>1863</v>
      </c>
    </row>
    <row r="821" spans="1:7" x14ac:dyDescent="0.25">
      <c r="A821" s="69" t="s">
        <v>15</v>
      </c>
      <c r="B821" s="71">
        <v>43190</v>
      </c>
      <c r="C821">
        <v>18079</v>
      </c>
      <c r="D821" t="s">
        <v>1841</v>
      </c>
      <c r="E821" t="s">
        <v>1846</v>
      </c>
      <c r="F821">
        <v>3</v>
      </c>
      <c r="G821" t="s">
        <v>1860</v>
      </c>
    </row>
    <row r="822" spans="1:7" x14ac:dyDescent="0.25">
      <c r="A822" s="69" t="s">
        <v>15</v>
      </c>
      <c r="B822" s="71">
        <v>43281</v>
      </c>
      <c r="C822">
        <v>20671</v>
      </c>
      <c r="D822" t="s">
        <v>1841</v>
      </c>
      <c r="E822" t="s">
        <v>1847</v>
      </c>
      <c r="F822">
        <v>6</v>
      </c>
      <c r="G822" t="s">
        <v>1861</v>
      </c>
    </row>
    <row r="823" spans="1:7" x14ac:dyDescent="0.25">
      <c r="A823" s="69" t="s">
        <v>15</v>
      </c>
      <c r="B823" s="71">
        <v>43373</v>
      </c>
      <c r="C823">
        <v>23062</v>
      </c>
      <c r="D823" t="s">
        <v>1841</v>
      </c>
      <c r="E823" t="s">
        <v>1848</v>
      </c>
      <c r="F823">
        <v>9</v>
      </c>
      <c r="G823" t="s">
        <v>1862</v>
      </c>
    </row>
    <row r="824" spans="1:7" x14ac:dyDescent="0.25">
      <c r="A824" s="69" t="s">
        <v>15</v>
      </c>
      <c r="B824" s="71">
        <v>43465</v>
      </c>
      <c r="C824">
        <v>30940</v>
      </c>
      <c r="D824" t="s">
        <v>1841</v>
      </c>
      <c r="E824" t="s">
        <v>1849</v>
      </c>
      <c r="F824">
        <v>12</v>
      </c>
      <c r="G824" t="s">
        <v>1863</v>
      </c>
    </row>
    <row r="825" spans="1:7" x14ac:dyDescent="0.25">
      <c r="A825" s="69" t="s">
        <v>15</v>
      </c>
      <c r="B825" s="71">
        <v>43555</v>
      </c>
      <c r="C825">
        <v>20212</v>
      </c>
      <c r="D825" t="s">
        <v>1842</v>
      </c>
      <c r="E825" t="s">
        <v>1846</v>
      </c>
      <c r="F825">
        <v>3</v>
      </c>
      <c r="G825" t="s">
        <v>1860</v>
      </c>
    </row>
    <row r="826" spans="1:7" x14ac:dyDescent="0.25">
      <c r="A826" s="69" t="s">
        <v>15</v>
      </c>
      <c r="B826" s="71">
        <v>43646</v>
      </c>
      <c r="C826">
        <v>22509</v>
      </c>
      <c r="D826" t="s">
        <v>1842</v>
      </c>
      <c r="E826" t="s">
        <v>1847</v>
      </c>
      <c r="F826">
        <v>6</v>
      </c>
      <c r="G826" t="s">
        <v>1861</v>
      </c>
    </row>
    <row r="827" spans="1:7" x14ac:dyDescent="0.25">
      <c r="A827" s="69" t="s">
        <v>15</v>
      </c>
      <c r="B827" s="71">
        <v>43738</v>
      </c>
      <c r="C827">
        <v>22815</v>
      </c>
      <c r="D827" t="s">
        <v>1842</v>
      </c>
      <c r="E827" t="s">
        <v>1848</v>
      </c>
      <c r="F827">
        <v>9</v>
      </c>
      <c r="G827" t="s">
        <v>1862</v>
      </c>
    </row>
    <row r="828" spans="1:7" x14ac:dyDescent="0.25">
      <c r="A828" s="69" t="s">
        <v>15</v>
      </c>
      <c r="B828" s="71">
        <v>43830</v>
      </c>
      <c r="C828">
        <v>14939</v>
      </c>
      <c r="D828" t="s">
        <v>1842</v>
      </c>
      <c r="E828" t="s">
        <v>1849</v>
      </c>
      <c r="F828">
        <v>12</v>
      </c>
      <c r="G828" t="s">
        <v>1863</v>
      </c>
    </row>
    <row r="829" spans="1:7" x14ac:dyDescent="0.25">
      <c r="A829" s="69" t="s">
        <v>15</v>
      </c>
      <c r="B829" s="71">
        <v>43921</v>
      </c>
      <c r="C829">
        <v>14645</v>
      </c>
      <c r="D829" t="s">
        <v>1843</v>
      </c>
      <c r="E829" t="s">
        <v>1846</v>
      </c>
      <c r="F829">
        <v>3</v>
      </c>
      <c r="G829" t="s">
        <v>1860</v>
      </c>
    </row>
    <row r="830" spans="1:7" x14ac:dyDescent="0.25">
      <c r="A830" s="69" t="s">
        <v>15</v>
      </c>
      <c r="B830" s="71">
        <v>44012</v>
      </c>
      <c r="C830">
        <v>21746</v>
      </c>
      <c r="D830" t="s">
        <v>1843</v>
      </c>
      <c r="E830" t="s">
        <v>1847</v>
      </c>
      <c r="F830">
        <v>6</v>
      </c>
      <c r="G830" t="s">
        <v>1861</v>
      </c>
    </row>
    <row r="831" spans="1:7" x14ac:dyDescent="0.25">
      <c r="A831" s="69" t="s">
        <v>15</v>
      </c>
      <c r="B831" s="71">
        <v>44104</v>
      </c>
      <c r="C831">
        <v>27823</v>
      </c>
      <c r="D831" t="s">
        <v>1843</v>
      </c>
      <c r="E831" t="s">
        <v>1848</v>
      </c>
      <c r="F831">
        <v>9</v>
      </c>
      <c r="G831" t="s">
        <v>1862</v>
      </c>
    </row>
    <row r="832" spans="1:7" x14ac:dyDescent="0.25">
      <c r="A832" s="69" t="s">
        <v>15</v>
      </c>
      <c r="B832" s="71">
        <v>44196</v>
      </c>
      <c r="C832">
        <v>18907</v>
      </c>
      <c r="D832" t="s">
        <v>1843</v>
      </c>
      <c r="E832" t="s">
        <v>1849</v>
      </c>
      <c r="F832">
        <v>12</v>
      </c>
      <c r="G832" t="s">
        <v>1863</v>
      </c>
    </row>
    <row r="833" spans="1:7" x14ac:dyDescent="0.25">
      <c r="A833" s="69" t="s">
        <v>15</v>
      </c>
      <c r="B833" s="71">
        <v>44286</v>
      </c>
      <c r="C833">
        <v>13823</v>
      </c>
      <c r="D833" t="s">
        <v>1844</v>
      </c>
      <c r="E833" t="s">
        <v>1846</v>
      </c>
      <c r="F833">
        <v>3</v>
      </c>
      <c r="G833" t="s">
        <v>1860</v>
      </c>
    </row>
    <row r="834" spans="1:7" x14ac:dyDescent="0.25">
      <c r="A834" s="69" t="s">
        <v>15</v>
      </c>
      <c r="B834" s="71">
        <v>44377</v>
      </c>
      <c r="C834">
        <v>11753</v>
      </c>
      <c r="D834" t="s">
        <v>1844</v>
      </c>
      <c r="E834" t="s">
        <v>1847</v>
      </c>
      <c r="F834">
        <v>6</v>
      </c>
      <c r="G834" t="s">
        <v>1861</v>
      </c>
    </row>
    <row r="835" spans="1:7" x14ac:dyDescent="0.25">
      <c r="A835" s="69" t="s">
        <v>15</v>
      </c>
      <c r="B835" s="71">
        <v>44469</v>
      </c>
      <c r="C835">
        <v>13910</v>
      </c>
      <c r="D835" t="s">
        <v>1844</v>
      </c>
      <c r="E835" t="s">
        <v>1848</v>
      </c>
      <c r="F835">
        <v>9</v>
      </c>
      <c r="G835" t="s">
        <v>1862</v>
      </c>
    </row>
    <row r="836" spans="1:7" x14ac:dyDescent="0.25">
      <c r="A836" s="69" t="s">
        <v>15</v>
      </c>
      <c r="B836" s="71">
        <v>44561</v>
      </c>
      <c r="C836">
        <v>12879</v>
      </c>
      <c r="D836" t="s">
        <v>1844</v>
      </c>
      <c r="E836" t="s">
        <v>1849</v>
      </c>
      <c r="F836">
        <v>12</v>
      </c>
      <c r="G836" t="s">
        <v>1863</v>
      </c>
    </row>
    <row r="837" spans="1:7" x14ac:dyDescent="0.25">
      <c r="A837" s="69" t="s">
        <v>15</v>
      </c>
      <c r="B837" s="71">
        <v>44651</v>
      </c>
      <c r="C837">
        <v>15776</v>
      </c>
      <c r="D837" t="s">
        <v>1845</v>
      </c>
      <c r="E837" t="s">
        <v>1846</v>
      </c>
      <c r="F837">
        <v>3</v>
      </c>
      <c r="G837" t="s">
        <v>1860</v>
      </c>
    </row>
    <row r="838" spans="1:7" x14ac:dyDescent="0.25">
      <c r="A838" s="69" t="s">
        <v>15</v>
      </c>
      <c r="B838" s="71">
        <v>44742</v>
      </c>
      <c r="C838">
        <v>24685</v>
      </c>
      <c r="D838" t="s">
        <v>1845</v>
      </c>
      <c r="E838" t="s">
        <v>1847</v>
      </c>
      <c r="F838">
        <v>6</v>
      </c>
      <c r="G838" t="s">
        <v>1861</v>
      </c>
    </row>
    <row r="839" spans="1:7" x14ac:dyDescent="0.25">
      <c r="A839" s="69" t="s">
        <v>15</v>
      </c>
      <c r="B839" s="71">
        <v>44834</v>
      </c>
      <c r="C839">
        <v>29278</v>
      </c>
      <c r="D839" t="s">
        <v>1845</v>
      </c>
      <c r="E839" t="s">
        <v>1848</v>
      </c>
      <c r="F839">
        <v>9</v>
      </c>
      <c r="G839" t="s">
        <v>1862</v>
      </c>
    </row>
    <row r="840" spans="1:7" x14ac:dyDescent="0.25">
      <c r="A840" s="69" t="s">
        <v>15</v>
      </c>
      <c r="B840" s="71">
        <v>44926</v>
      </c>
      <c r="C840">
        <v>12228</v>
      </c>
      <c r="D840" t="s">
        <v>1845</v>
      </c>
      <c r="E840" t="s">
        <v>1849</v>
      </c>
      <c r="F840">
        <v>12</v>
      </c>
      <c r="G840" t="s">
        <v>1863</v>
      </c>
    </row>
    <row r="841" spans="1:7" x14ac:dyDescent="0.25">
      <c r="A841" s="69" t="s">
        <v>20</v>
      </c>
      <c r="B841" s="71">
        <v>42460</v>
      </c>
      <c r="C841">
        <v>1901</v>
      </c>
      <c r="D841" t="s">
        <v>1839</v>
      </c>
      <c r="E841" t="s">
        <v>1846</v>
      </c>
      <c r="F841">
        <v>3</v>
      </c>
      <c r="G841" t="s">
        <v>1860</v>
      </c>
    </row>
    <row r="842" spans="1:7" x14ac:dyDescent="0.25">
      <c r="A842" s="69" t="s">
        <v>20</v>
      </c>
      <c r="B842" s="71">
        <v>42551</v>
      </c>
      <c r="C842">
        <v>1913</v>
      </c>
      <c r="D842" t="s">
        <v>1839</v>
      </c>
      <c r="E842" t="s">
        <v>1847</v>
      </c>
      <c r="F842">
        <v>6</v>
      </c>
      <c r="G842" t="s">
        <v>1861</v>
      </c>
    </row>
    <row r="843" spans="1:7" x14ac:dyDescent="0.25">
      <c r="A843" s="69" t="s">
        <v>20</v>
      </c>
      <c r="B843" s="71">
        <v>42643</v>
      </c>
      <c r="C843">
        <v>1991</v>
      </c>
      <c r="D843" t="s">
        <v>1839</v>
      </c>
      <c r="E843" t="s">
        <v>1848</v>
      </c>
      <c r="F843">
        <v>9</v>
      </c>
      <c r="G843" t="s">
        <v>1862</v>
      </c>
    </row>
    <row r="844" spans="1:7" x14ac:dyDescent="0.25">
      <c r="A844" s="69" t="s">
        <v>20</v>
      </c>
      <c r="B844" s="71">
        <v>42735</v>
      </c>
      <c r="C844">
        <v>1873</v>
      </c>
      <c r="D844" t="s">
        <v>1839</v>
      </c>
      <c r="E844" t="s">
        <v>1849</v>
      </c>
      <c r="F844">
        <v>12</v>
      </c>
      <c r="G844" t="s">
        <v>1863</v>
      </c>
    </row>
    <row r="845" spans="1:7" x14ac:dyDescent="0.25">
      <c r="A845" s="69" t="s">
        <v>20</v>
      </c>
      <c r="B845" s="71">
        <v>42825</v>
      </c>
      <c r="C845">
        <v>1719</v>
      </c>
      <c r="D845" t="s">
        <v>1840</v>
      </c>
      <c r="E845" t="s">
        <v>1846</v>
      </c>
      <c r="F845">
        <v>3</v>
      </c>
      <c r="G845" t="s">
        <v>1860</v>
      </c>
    </row>
    <row r="846" spans="1:7" x14ac:dyDescent="0.25">
      <c r="A846" s="69" t="s">
        <v>20</v>
      </c>
      <c r="B846" s="71">
        <v>42916</v>
      </c>
      <c r="C846">
        <v>1777</v>
      </c>
      <c r="D846" t="s">
        <v>1840</v>
      </c>
      <c r="E846" t="s">
        <v>1847</v>
      </c>
      <c r="F846">
        <v>6</v>
      </c>
      <c r="G846" t="s">
        <v>1861</v>
      </c>
    </row>
    <row r="847" spans="1:7" x14ac:dyDescent="0.25">
      <c r="A847" s="69" t="s">
        <v>20</v>
      </c>
      <c r="B847" s="71">
        <v>43008</v>
      </c>
      <c r="C847">
        <v>2042</v>
      </c>
      <c r="D847" t="s">
        <v>1840</v>
      </c>
      <c r="E847" t="s">
        <v>1848</v>
      </c>
      <c r="F847">
        <v>9</v>
      </c>
      <c r="G847" t="s">
        <v>1862</v>
      </c>
    </row>
    <row r="848" spans="1:7" x14ac:dyDescent="0.25">
      <c r="A848" s="69" t="s">
        <v>20</v>
      </c>
      <c r="B848" s="71">
        <v>43100</v>
      </c>
      <c r="C848">
        <v>1878</v>
      </c>
      <c r="D848" t="s">
        <v>1840</v>
      </c>
      <c r="E848" t="s">
        <v>1849</v>
      </c>
      <c r="F848">
        <v>12</v>
      </c>
      <c r="G848" t="s">
        <v>1863</v>
      </c>
    </row>
    <row r="849" spans="1:7" x14ac:dyDescent="0.25">
      <c r="A849" s="69" t="s">
        <v>20</v>
      </c>
      <c r="B849" s="71">
        <v>43190</v>
      </c>
      <c r="C849">
        <v>1791</v>
      </c>
      <c r="D849" t="s">
        <v>1841</v>
      </c>
      <c r="E849" t="s">
        <v>1846</v>
      </c>
      <c r="F849">
        <v>3</v>
      </c>
      <c r="G849" t="s">
        <v>1860</v>
      </c>
    </row>
    <row r="850" spans="1:7" x14ac:dyDescent="0.25">
      <c r="A850" s="69" t="s">
        <v>20</v>
      </c>
      <c r="B850" s="71">
        <v>43281</v>
      </c>
      <c r="C850">
        <v>2009</v>
      </c>
      <c r="D850" t="s">
        <v>1841</v>
      </c>
      <c r="E850" t="s">
        <v>1847</v>
      </c>
      <c r="F850">
        <v>6</v>
      </c>
      <c r="G850" t="s">
        <v>1861</v>
      </c>
    </row>
    <row r="851" spans="1:7" x14ac:dyDescent="0.25">
      <c r="A851" s="69" t="s">
        <v>20</v>
      </c>
      <c r="B851" s="71">
        <v>43373</v>
      </c>
      <c r="C851">
        <v>2002</v>
      </c>
      <c r="D851" t="s">
        <v>1841</v>
      </c>
      <c r="E851" t="s">
        <v>1848</v>
      </c>
      <c r="F851">
        <v>9</v>
      </c>
      <c r="G851" t="s">
        <v>1862</v>
      </c>
    </row>
    <row r="852" spans="1:7" x14ac:dyDescent="0.25">
      <c r="A852" s="69" t="s">
        <v>20</v>
      </c>
      <c r="B852" s="71">
        <v>43465</v>
      </c>
      <c r="C852">
        <v>2065</v>
      </c>
      <c r="D852" t="s">
        <v>1841</v>
      </c>
      <c r="E852" t="s">
        <v>1849</v>
      </c>
      <c r="F852">
        <v>12</v>
      </c>
      <c r="G852" t="s">
        <v>1863</v>
      </c>
    </row>
    <row r="853" spans="1:7" x14ac:dyDescent="0.25">
      <c r="A853" s="69" t="s">
        <v>20</v>
      </c>
      <c r="B853" s="71">
        <v>43555</v>
      </c>
      <c r="C853">
        <v>2015</v>
      </c>
      <c r="D853" t="s">
        <v>1842</v>
      </c>
      <c r="E853" t="s">
        <v>1846</v>
      </c>
      <c r="F853">
        <v>3</v>
      </c>
      <c r="G853" t="s">
        <v>1860</v>
      </c>
    </row>
    <row r="854" spans="1:7" x14ac:dyDescent="0.25">
      <c r="A854" s="69" t="s">
        <v>20</v>
      </c>
      <c r="B854" s="71">
        <v>43646</v>
      </c>
      <c r="C854">
        <v>2179</v>
      </c>
      <c r="D854" t="s">
        <v>1842</v>
      </c>
      <c r="E854" t="s">
        <v>1847</v>
      </c>
      <c r="F854">
        <v>6</v>
      </c>
      <c r="G854" t="s">
        <v>1861</v>
      </c>
    </row>
    <row r="855" spans="1:7" x14ac:dyDescent="0.25">
      <c r="A855" s="69" t="s">
        <v>20</v>
      </c>
      <c r="B855" s="71">
        <v>43738</v>
      </c>
      <c r="C855">
        <v>2216</v>
      </c>
      <c r="D855" t="s">
        <v>1842</v>
      </c>
      <c r="E855" t="s">
        <v>1848</v>
      </c>
      <c r="F855">
        <v>9</v>
      </c>
      <c r="G855" t="s">
        <v>1862</v>
      </c>
    </row>
    <row r="856" spans="1:7" x14ac:dyDescent="0.25">
      <c r="A856" s="69" t="s">
        <v>20</v>
      </c>
      <c r="B856" s="71">
        <v>43830</v>
      </c>
      <c r="C856">
        <v>2222</v>
      </c>
      <c r="D856" t="s">
        <v>1842</v>
      </c>
      <c r="E856" t="s">
        <v>1849</v>
      </c>
      <c r="F856">
        <v>12</v>
      </c>
      <c r="G856" t="s">
        <v>1863</v>
      </c>
    </row>
    <row r="857" spans="1:7" x14ac:dyDescent="0.25">
      <c r="A857" s="69" t="s">
        <v>20</v>
      </c>
      <c r="B857" s="71">
        <v>43921</v>
      </c>
      <c r="C857">
        <v>2426</v>
      </c>
      <c r="D857" t="s">
        <v>1843</v>
      </c>
      <c r="E857" t="s">
        <v>1846</v>
      </c>
      <c r="F857">
        <v>3</v>
      </c>
      <c r="G857" t="s">
        <v>1860</v>
      </c>
    </row>
    <row r="858" spans="1:7" x14ac:dyDescent="0.25">
      <c r="A858" s="69" t="s">
        <v>20</v>
      </c>
      <c r="B858" s="71">
        <v>44012</v>
      </c>
      <c r="C858">
        <v>2375</v>
      </c>
      <c r="D858" t="s">
        <v>1843</v>
      </c>
      <c r="E858" t="s">
        <v>1847</v>
      </c>
      <c r="F858">
        <v>6</v>
      </c>
      <c r="G858" t="s">
        <v>1861</v>
      </c>
    </row>
    <row r="859" spans="1:7" x14ac:dyDescent="0.25">
      <c r="A859" s="69" t="s">
        <v>20</v>
      </c>
      <c r="B859" s="71">
        <v>44104</v>
      </c>
      <c r="C859">
        <v>2342</v>
      </c>
      <c r="D859" t="s">
        <v>1843</v>
      </c>
      <c r="E859" t="s">
        <v>1848</v>
      </c>
      <c r="F859">
        <v>9</v>
      </c>
      <c r="G859" t="s">
        <v>1862</v>
      </c>
    </row>
    <row r="860" spans="1:7" x14ac:dyDescent="0.25">
      <c r="A860" s="69" t="s">
        <v>20</v>
      </c>
      <c r="B860" s="71">
        <v>44196</v>
      </c>
      <c r="C860">
        <v>2226</v>
      </c>
      <c r="D860" t="s">
        <v>1843</v>
      </c>
      <c r="E860" t="s">
        <v>1849</v>
      </c>
      <c r="F860">
        <v>12</v>
      </c>
      <c r="G860" t="s">
        <v>1863</v>
      </c>
    </row>
    <row r="861" spans="1:7" x14ac:dyDescent="0.25">
      <c r="A861" s="69" t="s">
        <v>20</v>
      </c>
      <c r="B861" s="71">
        <v>44286</v>
      </c>
      <c r="C861">
        <v>2118</v>
      </c>
      <c r="D861" t="s">
        <v>1844</v>
      </c>
      <c r="E861" t="s">
        <v>1846</v>
      </c>
      <c r="F861">
        <v>3</v>
      </c>
      <c r="G861" t="s">
        <v>1860</v>
      </c>
    </row>
    <row r="862" spans="1:7" x14ac:dyDescent="0.25">
      <c r="A862" s="69" t="s">
        <v>20</v>
      </c>
      <c r="B862" s="71">
        <v>44377</v>
      </c>
      <c r="C862">
        <v>1989</v>
      </c>
      <c r="D862" t="s">
        <v>1844</v>
      </c>
      <c r="E862" t="s">
        <v>1847</v>
      </c>
      <c r="F862">
        <v>6</v>
      </c>
      <c r="G862" t="s">
        <v>1861</v>
      </c>
    </row>
    <row r="863" spans="1:7" x14ac:dyDescent="0.25">
      <c r="A863" s="69" t="s">
        <v>20</v>
      </c>
      <c r="B863" s="71">
        <v>44469</v>
      </c>
      <c r="C863">
        <v>2336</v>
      </c>
      <c r="D863" t="s">
        <v>1844</v>
      </c>
      <c r="E863" t="s">
        <v>1848</v>
      </c>
      <c r="F863">
        <v>9</v>
      </c>
      <c r="G863" t="s">
        <v>1862</v>
      </c>
    </row>
    <row r="864" spans="1:7" x14ac:dyDescent="0.25">
      <c r="A864" s="69" t="s">
        <v>20</v>
      </c>
      <c r="B864" s="71">
        <v>44561</v>
      </c>
      <c r="C864">
        <v>2736</v>
      </c>
      <c r="D864" t="s">
        <v>1844</v>
      </c>
      <c r="E864" t="s">
        <v>1849</v>
      </c>
      <c r="F864">
        <v>12</v>
      </c>
      <c r="G864" t="s">
        <v>1863</v>
      </c>
    </row>
    <row r="865" spans="1:7" x14ac:dyDescent="0.25">
      <c r="A865" s="69" t="s">
        <v>20</v>
      </c>
      <c r="B865" s="71">
        <v>44651</v>
      </c>
      <c r="C865">
        <v>2868</v>
      </c>
      <c r="D865" t="s">
        <v>1845</v>
      </c>
      <c r="E865" t="s">
        <v>1846</v>
      </c>
      <c r="F865">
        <v>3</v>
      </c>
      <c r="G865" t="s">
        <v>1860</v>
      </c>
    </row>
    <row r="866" spans="1:7" x14ac:dyDescent="0.25">
      <c r="A866" s="69" t="s">
        <v>20</v>
      </c>
      <c r="B866" s="71">
        <v>44742</v>
      </c>
      <c r="C866">
        <v>2808</v>
      </c>
      <c r="D866" t="s">
        <v>1845</v>
      </c>
      <c r="E866" t="s">
        <v>1847</v>
      </c>
      <c r="F866">
        <v>6</v>
      </c>
      <c r="G866" t="s">
        <v>1861</v>
      </c>
    </row>
    <row r="867" spans="1:7" x14ac:dyDescent="0.25">
      <c r="A867" s="69" t="s">
        <v>20</v>
      </c>
      <c r="B867" s="71">
        <v>44834</v>
      </c>
      <c r="C867">
        <v>3586</v>
      </c>
      <c r="D867" t="s">
        <v>1845</v>
      </c>
      <c r="E867" t="s">
        <v>1848</v>
      </c>
      <c r="F867">
        <v>9</v>
      </c>
      <c r="G867" t="s">
        <v>1862</v>
      </c>
    </row>
    <row r="868" spans="1:7" x14ac:dyDescent="0.25">
      <c r="A868" s="69" t="s">
        <v>20</v>
      </c>
      <c r="B868" s="71">
        <v>44926</v>
      </c>
      <c r="C868">
        <v>3419</v>
      </c>
      <c r="D868" t="s">
        <v>1845</v>
      </c>
      <c r="E868" t="s">
        <v>1849</v>
      </c>
      <c r="F868">
        <v>12</v>
      </c>
      <c r="G868" t="s">
        <v>1863</v>
      </c>
    </row>
    <row r="869" spans="1:7" x14ac:dyDescent="0.25">
      <c r="A869" s="69" t="s">
        <v>23</v>
      </c>
      <c r="B869" s="71">
        <v>42460</v>
      </c>
      <c r="C869">
        <v>9829</v>
      </c>
      <c r="D869" t="s">
        <v>1839</v>
      </c>
      <c r="E869" t="s">
        <v>1846</v>
      </c>
      <c r="F869">
        <v>3</v>
      </c>
      <c r="G869" t="s">
        <v>1860</v>
      </c>
    </row>
    <row r="870" spans="1:7" x14ac:dyDescent="0.25">
      <c r="A870" s="69" t="s">
        <v>23</v>
      </c>
      <c r="B870" s="71">
        <v>42551</v>
      </c>
      <c r="C870">
        <v>8938</v>
      </c>
      <c r="D870" t="s">
        <v>1839</v>
      </c>
      <c r="E870" t="s">
        <v>1847</v>
      </c>
      <c r="F870">
        <v>6</v>
      </c>
      <c r="G870" t="s">
        <v>1861</v>
      </c>
    </row>
    <row r="871" spans="1:7" x14ac:dyDescent="0.25">
      <c r="A871" s="69" t="s">
        <v>23</v>
      </c>
      <c r="B871" s="71">
        <v>42643</v>
      </c>
      <c r="C871">
        <v>8095</v>
      </c>
      <c r="D871" t="s">
        <v>1839</v>
      </c>
      <c r="E871" t="s">
        <v>1848</v>
      </c>
      <c r="F871">
        <v>9</v>
      </c>
      <c r="G871" t="s">
        <v>1862</v>
      </c>
    </row>
    <row r="872" spans="1:7" x14ac:dyDescent="0.25">
      <c r="A872" s="69" t="s">
        <v>23</v>
      </c>
      <c r="B872" s="71">
        <v>42735</v>
      </c>
      <c r="C872">
        <v>793</v>
      </c>
      <c r="D872" t="s">
        <v>1839</v>
      </c>
      <c r="E872" t="s">
        <v>1849</v>
      </c>
      <c r="F872">
        <v>12</v>
      </c>
      <c r="G872" t="s">
        <v>1863</v>
      </c>
    </row>
    <row r="873" spans="1:7" x14ac:dyDescent="0.25">
      <c r="A873" s="69" t="s">
        <v>23</v>
      </c>
      <c r="B873" s="71">
        <v>42825</v>
      </c>
      <c r="C873">
        <v>3466</v>
      </c>
      <c r="D873" t="s">
        <v>1840</v>
      </c>
      <c r="E873" t="s">
        <v>1846</v>
      </c>
      <c r="F873">
        <v>3</v>
      </c>
      <c r="G873" t="s">
        <v>1860</v>
      </c>
    </row>
    <row r="874" spans="1:7" x14ac:dyDescent="0.25">
      <c r="A874" s="69" t="s">
        <v>23</v>
      </c>
      <c r="B874" s="71">
        <v>42916</v>
      </c>
      <c r="C874">
        <v>6356</v>
      </c>
      <c r="D874" t="s">
        <v>1840</v>
      </c>
      <c r="E874" t="s">
        <v>1847</v>
      </c>
      <c r="F874">
        <v>6</v>
      </c>
      <c r="G874" t="s">
        <v>1861</v>
      </c>
    </row>
    <row r="875" spans="1:7" x14ac:dyDescent="0.25">
      <c r="A875" s="69" t="s">
        <v>23</v>
      </c>
      <c r="B875" s="71">
        <v>43008</v>
      </c>
      <c r="C875">
        <v>7502</v>
      </c>
      <c r="D875" t="s">
        <v>1840</v>
      </c>
      <c r="E875" t="s">
        <v>1848</v>
      </c>
      <c r="F875">
        <v>9</v>
      </c>
      <c r="G875" t="s">
        <v>1862</v>
      </c>
    </row>
    <row r="876" spans="1:7" x14ac:dyDescent="0.25">
      <c r="A876" s="69" t="s">
        <v>23</v>
      </c>
      <c r="B876" s="71">
        <v>43100</v>
      </c>
      <c r="C876">
        <v>5818</v>
      </c>
      <c r="D876" t="s">
        <v>1840</v>
      </c>
      <c r="E876" t="s">
        <v>1849</v>
      </c>
      <c r="F876">
        <v>12</v>
      </c>
      <c r="G876" t="s">
        <v>1863</v>
      </c>
    </row>
    <row r="877" spans="1:7" x14ac:dyDescent="0.25">
      <c r="A877" s="69" t="s">
        <v>23</v>
      </c>
      <c r="B877" s="71">
        <v>43190</v>
      </c>
      <c r="C877">
        <v>5034</v>
      </c>
      <c r="D877" t="s">
        <v>1841</v>
      </c>
      <c r="E877" t="s">
        <v>1846</v>
      </c>
      <c r="F877">
        <v>3</v>
      </c>
      <c r="G877" t="s">
        <v>1860</v>
      </c>
    </row>
    <row r="878" spans="1:7" x14ac:dyDescent="0.25">
      <c r="A878" s="69" t="s">
        <v>23</v>
      </c>
      <c r="B878" s="71">
        <v>43281</v>
      </c>
      <c r="C878">
        <v>5118</v>
      </c>
      <c r="D878" t="s">
        <v>1841</v>
      </c>
      <c r="E878" t="s">
        <v>1847</v>
      </c>
      <c r="F878">
        <v>6</v>
      </c>
      <c r="G878" t="s">
        <v>1861</v>
      </c>
    </row>
    <row r="879" spans="1:7" x14ac:dyDescent="0.25">
      <c r="A879" s="69" t="s">
        <v>23</v>
      </c>
      <c r="B879" s="71">
        <v>43373</v>
      </c>
      <c r="C879">
        <v>4694</v>
      </c>
      <c r="D879" t="s">
        <v>1841</v>
      </c>
      <c r="E879" t="s">
        <v>1848</v>
      </c>
      <c r="F879">
        <v>9</v>
      </c>
      <c r="G879" t="s">
        <v>1862</v>
      </c>
    </row>
    <row r="880" spans="1:7" x14ac:dyDescent="0.25">
      <c r="A880" s="69" t="s">
        <v>23</v>
      </c>
      <c r="B880" s="71">
        <v>43465</v>
      </c>
      <c r="C880">
        <v>4220</v>
      </c>
      <c r="D880" t="s">
        <v>1841</v>
      </c>
      <c r="E880" t="s">
        <v>1849</v>
      </c>
      <c r="F880">
        <v>12</v>
      </c>
      <c r="G880" t="s">
        <v>1863</v>
      </c>
    </row>
    <row r="881" spans="1:7" x14ac:dyDescent="0.25">
      <c r="A881" s="69" t="s">
        <v>23</v>
      </c>
      <c r="B881" s="71">
        <v>43555</v>
      </c>
      <c r="C881">
        <v>6207</v>
      </c>
      <c r="D881" t="s">
        <v>1842</v>
      </c>
      <c r="E881" t="s">
        <v>1846</v>
      </c>
      <c r="F881">
        <v>3</v>
      </c>
      <c r="G881" t="s">
        <v>1860</v>
      </c>
    </row>
    <row r="882" spans="1:7" x14ac:dyDescent="0.25">
      <c r="A882" s="69" t="s">
        <v>23</v>
      </c>
      <c r="B882" s="71">
        <v>43646</v>
      </c>
      <c r="C882">
        <v>5808</v>
      </c>
      <c r="D882" t="s">
        <v>1842</v>
      </c>
      <c r="E882" t="s">
        <v>1847</v>
      </c>
      <c r="F882">
        <v>6</v>
      </c>
      <c r="G882" t="s">
        <v>1861</v>
      </c>
    </row>
    <row r="883" spans="1:7" x14ac:dyDescent="0.25">
      <c r="A883" s="69" t="s">
        <v>23</v>
      </c>
      <c r="B883" s="71">
        <v>43738</v>
      </c>
      <c r="C883">
        <v>4933</v>
      </c>
      <c r="D883" t="s">
        <v>1842</v>
      </c>
      <c r="E883" t="s">
        <v>1848</v>
      </c>
      <c r="F883">
        <v>9</v>
      </c>
      <c r="G883" t="s">
        <v>1862</v>
      </c>
    </row>
    <row r="884" spans="1:7" x14ac:dyDescent="0.25">
      <c r="A884" s="69" t="s">
        <v>23</v>
      </c>
      <c r="B884" s="71">
        <v>43830</v>
      </c>
      <c r="C884">
        <v>3926</v>
      </c>
      <c r="D884" t="s">
        <v>1842</v>
      </c>
      <c r="E884" t="s">
        <v>1849</v>
      </c>
      <c r="F884">
        <v>12</v>
      </c>
      <c r="G884" t="s">
        <v>1863</v>
      </c>
    </row>
    <row r="885" spans="1:7" x14ac:dyDescent="0.25">
      <c r="A885" s="69" t="s">
        <v>23</v>
      </c>
      <c r="B885" s="71">
        <v>43921</v>
      </c>
      <c r="C885">
        <v>2810</v>
      </c>
      <c r="D885" t="s">
        <v>1843</v>
      </c>
      <c r="E885" t="s">
        <v>1846</v>
      </c>
      <c r="F885">
        <v>3</v>
      </c>
      <c r="G885" t="s">
        <v>1860</v>
      </c>
    </row>
    <row r="886" spans="1:7" x14ac:dyDescent="0.25">
      <c r="A886" s="69" t="s">
        <v>23</v>
      </c>
      <c r="B886" s="71">
        <v>44012</v>
      </c>
      <c r="C886">
        <v>3469</v>
      </c>
      <c r="D886" t="s">
        <v>1843</v>
      </c>
      <c r="E886" t="s">
        <v>1847</v>
      </c>
      <c r="F886">
        <v>6</v>
      </c>
      <c r="G886" t="s">
        <v>1861</v>
      </c>
    </row>
    <row r="887" spans="1:7" x14ac:dyDescent="0.25">
      <c r="A887" s="69" t="s">
        <v>23</v>
      </c>
      <c r="B887" s="71">
        <v>44104</v>
      </c>
      <c r="C887">
        <v>3765</v>
      </c>
      <c r="D887" t="s">
        <v>1843</v>
      </c>
      <c r="E887" t="s">
        <v>1848</v>
      </c>
      <c r="F887">
        <v>9</v>
      </c>
      <c r="G887" t="s">
        <v>1862</v>
      </c>
    </row>
    <row r="888" spans="1:7" x14ac:dyDescent="0.25">
      <c r="A888" s="69" t="s">
        <v>23</v>
      </c>
      <c r="B888" s="71">
        <v>44196</v>
      </c>
      <c r="C888">
        <v>3004</v>
      </c>
      <c r="D888" t="s">
        <v>1843</v>
      </c>
      <c r="E888" t="s">
        <v>1849</v>
      </c>
      <c r="F888">
        <v>12</v>
      </c>
      <c r="G888" t="s">
        <v>1863</v>
      </c>
    </row>
    <row r="889" spans="1:7" x14ac:dyDescent="0.25">
      <c r="A889" s="69" t="s">
        <v>23</v>
      </c>
      <c r="B889" s="71">
        <v>44286</v>
      </c>
      <c r="C889">
        <v>5028</v>
      </c>
      <c r="D889" t="s">
        <v>1844</v>
      </c>
      <c r="E889" t="s">
        <v>1846</v>
      </c>
      <c r="F889">
        <v>3</v>
      </c>
      <c r="G889" t="s">
        <v>1860</v>
      </c>
    </row>
    <row r="890" spans="1:7" x14ac:dyDescent="0.25">
      <c r="A890" s="69" t="s">
        <v>23</v>
      </c>
      <c r="B890" s="71">
        <v>44377</v>
      </c>
      <c r="C890">
        <v>5700</v>
      </c>
      <c r="D890" t="s">
        <v>1844</v>
      </c>
      <c r="E890" t="s">
        <v>1847</v>
      </c>
      <c r="F890">
        <v>6</v>
      </c>
      <c r="G890" t="s">
        <v>1861</v>
      </c>
    </row>
    <row r="891" spans="1:7" x14ac:dyDescent="0.25">
      <c r="A891" s="69" t="s">
        <v>23</v>
      </c>
      <c r="B891" s="71">
        <v>44469</v>
      </c>
      <c r="C891">
        <v>6275</v>
      </c>
      <c r="D891" t="s">
        <v>1844</v>
      </c>
      <c r="E891" t="s">
        <v>1848</v>
      </c>
      <c r="F891">
        <v>9</v>
      </c>
      <c r="G891" t="s">
        <v>1862</v>
      </c>
    </row>
    <row r="892" spans="1:7" x14ac:dyDescent="0.25">
      <c r="A892" s="69" t="s">
        <v>23</v>
      </c>
      <c r="B892" s="71">
        <v>44561</v>
      </c>
      <c r="C892">
        <v>6387</v>
      </c>
      <c r="D892" t="s">
        <v>1844</v>
      </c>
      <c r="E892" t="s">
        <v>1849</v>
      </c>
      <c r="F892">
        <v>12</v>
      </c>
      <c r="G892" t="s">
        <v>1863</v>
      </c>
    </row>
    <row r="893" spans="1:7" x14ac:dyDescent="0.25">
      <c r="A893" s="69" t="s">
        <v>23</v>
      </c>
      <c r="B893" s="71">
        <v>44651</v>
      </c>
      <c r="C893">
        <v>6645</v>
      </c>
      <c r="D893" t="s">
        <v>1845</v>
      </c>
      <c r="E893" t="s">
        <v>1846</v>
      </c>
      <c r="F893">
        <v>3</v>
      </c>
      <c r="G893" t="s">
        <v>1860</v>
      </c>
    </row>
    <row r="894" spans="1:7" x14ac:dyDescent="0.25">
      <c r="A894" s="69" t="s">
        <v>23</v>
      </c>
      <c r="B894" s="71">
        <v>44742</v>
      </c>
      <c r="C894">
        <v>8215</v>
      </c>
      <c r="D894" t="s">
        <v>1845</v>
      </c>
      <c r="E894" t="s">
        <v>1847</v>
      </c>
      <c r="F894">
        <v>6</v>
      </c>
      <c r="G894" t="s">
        <v>1861</v>
      </c>
    </row>
    <row r="895" spans="1:7" x14ac:dyDescent="0.25">
      <c r="A895" s="69" t="s">
        <v>23</v>
      </c>
      <c r="B895" s="71">
        <v>44834</v>
      </c>
      <c r="C895">
        <v>7739</v>
      </c>
      <c r="D895" t="s">
        <v>1845</v>
      </c>
      <c r="E895" t="s">
        <v>1848</v>
      </c>
      <c r="F895">
        <v>9</v>
      </c>
      <c r="G895" t="s">
        <v>1862</v>
      </c>
    </row>
    <row r="896" spans="1:7" x14ac:dyDescent="0.25">
      <c r="A896" s="69" t="s">
        <v>23</v>
      </c>
      <c r="B896" s="71">
        <v>44926</v>
      </c>
      <c r="C896">
        <v>7931</v>
      </c>
      <c r="D896" t="s">
        <v>1845</v>
      </c>
      <c r="E896" t="s">
        <v>1849</v>
      </c>
      <c r="F896">
        <v>12</v>
      </c>
      <c r="G896" t="s">
        <v>1863</v>
      </c>
    </row>
    <row r="897" spans="1:7" x14ac:dyDescent="0.25">
      <c r="A897" s="69" t="s">
        <v>30</v>
      </c>
      <c r="B897" s="71">
        <v>42460</v>
      </c>
      <c r="C897">
        <v>12806</v>
      </c>
      <c r="D897" t="s">
        <v>1839</v>
      </c>
      <c r="E897" t="s">
        <v>1846</v>
      </c>
      <c r="F897">
        <v>3</v>
      </c>
      <c r="G897" t="s">
        <v>1860</v>
      </c>
    </row>
    <row r="898" spans="1:7" x14ac:dyDescent="0.25">
      <c r="A898" s="69" t="s">
        <v>30</v>
      </c>
      <c r="B898" s="71">
        <v>42551</v>
      </c>
      <c r="C898">
        <v>12806</v>
      </c>
      <c r="D898" t="s">
        <v>1839</v>
      </c>
      <c r="E898" t="s">
        <v>1847</v>
      </c>
      <c r="F898">
        <v>6</v>
      </c>
      <c r="G898" t="s">
        <v>1861</v>
      </c>
    </row>
    <row r="899" spans="1:7" x14ac:dyDescent="0.25">
      <c r="A899" s="69" t="s">
        <v>30</v>
      </c>
      <c r="B899" s="71">
        <v>42643</v>
      </c>
      <c r="C899">
        <v>12806</v>
      </c>
      <c r="D899" t="s">
        <v>1839</v>
      </c>
      <c r="E899" t="s">
        <v>1848</v>
      </c>
      <c r="F899">
        <v>9</v>
      </c>
      <c r="G899" t="s">
        <v>1862</v>
      </c>
    </row>
    <row r="900" spans="1:7" x14ac:dyDescent="0.25">
      <c r="A900" s="69" t="s">
        <v>30</v>
      </c>
      <c r="B900" s="71">
        <v>42735</v>
      </c>
      <c r="C900">
        <v>12806</v>
      </c>
      <c r="D900" t="s">
        <v>1839</v>
      </c>
      <c r="E900" t="s">
        <v>1849</v>
      </c>
      <c r="F900">
        <v>12</v>
      </c>
      <c r="G900" t="s">
        <v>1863</v>
      </c>
    </row>
    <row r="901" spans="1:7" x14ac:dyDescent="0.25">
      <c r="A901" s="69" t="s">
        <v>30</v>
      </c>
      <c r="B901" s="71">
        <v>42825</v>
      </c>
      <c r="C901">
        <v>12806</v>
      </c>
      <c r="D901" t="s">
        <v>1840</v>
      </c>
      <c r="E901" t="s">
        <v>1846</v>
      </c>
      <c r="F901">
        <v>3</v>
      </c>
      <c r="G901" t="s">
        <v>1860</v>
      </c>
    </row>
    <row r="902" spans="1:7" x14ac:dyDescent="0.25">
      <c r="A902" s="69" t="s">
        <v>30</v>
      </c>
      <c r="B902" s="71">
        <v>42916</v>
      </c>
      <c r="C902">
        <v>12806</v>
      </c>
      <c r="D902" t="s">
        <v>1840</v>
      </c>
      <c r="E902" t="s">
        <v>1847</v>
      </c>
      <c r="F902">
        <v>6</v>
      </c>
      <c r="G902" t="s">
        <v>1861</v>
      </c>
    </row>
    <row r="903" spans="1:7" x14ac:dyDescent="0.25">
      <c r="A903" s="69" t="s">
        <v>30</v>
      </c>
      <c r="B903" s="71">
        <v>43008</v>
      </c>
      <c r="C903">
        <v>12806</v>
      </c>
      <c r="D903" t="s">
        <v>1840</v>
      </c>
      <c r="E903" t="s">
        <v>1848</v>
      </c>
      <c r="F903">
        <v>9</v>
      </c>
      <c r="G903" t="s">
        <v>1862</v>
      </c>
    </row>
    <row r="904" spans="1:7" x14ac:dyDescent="0.25">
      <c r="A904" s="69" t="s">
        <v>30</v>
      </c>
      <c r="B904" s="71">
        <v>43100</v>
      </c>
      <c r="C904">
        <v>12806</v>
      </c>
      <c r="D904" t="s">
        <v>1840</v>
      </c>
      <c r="E904" t="s">
        <v>1849</v>
      </c>
      <c r="F904">
        <v>12</v>
      </c>
      <c r="G904" t="s">
        <v>1863</v>
      </c>
    </row>
    <row r="905" spans="1:7" x14ac:dyDescent="0.25">
      <c r="A905" s="69" t="s">
        <v>30</v>
      </c>
      <c r="B905" s="71">
        <v>43190</v>
      </c>
      <c r="C905">
        <v>12806</v>
      </c>
      <c r="D905" t="s">
        <v>1841</v>
      </c>
      <c r="E905" t="s">
        <v>1846</v>
      </c>
      <c r="F905">
        <v>3</v>
      </c>
      <c r="G905" t="s">
        <v>1860</v>
      </c>
    </row>
    <row r="906" spans="1:7" x14ac:dyDescent="0.25">
      <c r="A906" s="69" t="s">
        <v>30</v>
      </c>
      <c r="B906" s="71">
        <v>43281</v>
      </c>
      <c r="C906">
        <v>12806</v>
      </c>
      <c r="D906" t="s">
        <v>1841</v>
      </c>
      <c r="E906" t="s">
        <v>1847</v>
      </c>
      <c r="F906">
        <v>6</v>
      </c>
      <c r="G906" t="s">
        <v>1861</v>
      </c>
    </row>
    <row r="907" spans="1:7" x14ac:dyDescent="0.25">
      <c r="A907" s="69" t="s">
        <v>30</v>
      </c>
      <c r="B907" s="71">
        <v>43373</v>
      </c>
      <c r="C907">
        <v>12806</v>
      </c>
      <c r="D907" t="s">
        <v>1841</v>
      </c>
      <c r="E907" t="s">
        <v>1848</v>
      </c>
      <c r="F907">
        <v>9</v>
      </c>
      <c r="G907" t="s">
        <v>1862</v>
      </c>
    </row>
    <row r="908" spans="1:7" x14ac:dyDescent="0.25">
      <c r="A908" s="69" t="s">
        <v>30</v>
      </c>
      <c r="B908" s="71">
        <v>43465</v>
      </c>
      <c r="C908">
        <v>12806</v>
      </c>
      <c r="D908" t="s">
        <v>1841</v>
      </c>
      <c r="E908" t="s">
        <v>1849</v>
      </c>
      <c r="F908">
        <v>12</v>
      </c>
      <c r="G908" t="s">
        <v>1863</v>
      </c>
    </row>
    <row r="909" spans="1:7" x14ac:dyDescent="0.25">
      <c r="A909" s="69" t="s">
        <v>30</v>
      </c>
      <c r="B909" s="71">
        <v>43555</v>
      </c>
      <c r="C909">
        <v>12806</v>
      </c>
      <c r="D909" t="s">
        <v>1842</v>
      </c>
      <c r="E909" t="s">
        <v>1846</v>
      </c>
      <c r="F909">
        <v>3</v>
      </c>
      <c r="G909" t="s">
        <v>1860</v>
      </c>
    </row>
    <row r="910" spans="1:7" x14ac:dyDescent="0.25">
      <c r="A910" s="69" t="s">
        <v>30</v>
      </c>
      <c r="B910" s="71">
        <v>43646</v>
      </c>
      <c r="C910">
        <v>12806</v>
      </c>
      <c r="D910" t="s">
        <v>1842</v>
      </c>
      <c r="E910" t="s">
        <v>1847</v>
      </c>
      <c r="F910">
        <v>6</v>
      </c>
      <c r="G910" t="s">
        <v>1861</v>
      </c>
    </row>
    <row r="911" spans="1:7" x14ac:dyDescent="0.25">
      <c r="A911" s="69" t="s">
        <v>30</v>
      </c>
      <c r="B911" s="71">
        <v>43738</v>
      </c>
      <c r="C911">
        <v>12806</v>
      </c>
      <c r="D911" t="s">
        <v>1842</v>
      </c>
      <c r="E911" t="s">
        <v>1848</v>
      </c>
      <c r="F911">
        <v>9</v>
      </c>
      <c r="G911" t="s">
        <v>1862</v>
      </c>
    </row>
    <row r="912" spans="1:7" x14ac:dyDescent="0.25">
      <c r="A912" s="69" t="s">
        <v>30</v>
      </c>
      <c r="B912" s="71">
        <v>43830</v>
      </c>
      <c r="C912">
        <v>12806</v>
      </c>
      <c r="D912" t="s">
        <v>1842</v>
      </c>
      <c r="E912" t="s">
        <v>1849</v>
      </c>
      <c r="F912">
        <v>12</v>
      </c>
      <c r="G912" t="s">
        <v>1863</v>
      </c>
    </row>
    <row r="913" spans="1:7" x14ac:dyDescent="0.25">
      <c r="A913" s="69" t="s">
        <v>30</v>
      </c>
      <c r="B913" s="71">
        <v>43921</v>
      </c>
      <c r="C913">
        <v>12806</v>
      </c>
      <c r="D913" t="s">
        <v>1843</v>
      </c>
      <c r="E913" t="s">
        <v>1846</v>
      </c>
      <c r="F913">
        <v>3</v>
      </c>
      <c r="G913" t="s">
        <v>1860</v>
      </c>
    </row>
    <row r="914" spans="1:7" x14ac:dyDescent="0.25">
      <c r="A914" s="69" t="s">
        <v>30</v>
      </c>
      <c r="B914" s="71">
        <v>44012</v>
      </c>
      <c r="C914">
        <v>12806</v>
      </c>
      <c r="D914" t="s">
        <v>1843</v>
      </c>
      <c r="E914" t="s">
        <v>1847</v>
      </c>
      <c r="F914">
        <v>6</v>
      </c>
      <c r="G914" t="s">
        <v>1861</v>
      </c>
    </row>
    <row r="915" spans="1:7" x14ac:dyDescent="0.25">
      <c r="A915" s="69" t="s">
        <v>30</v>
      </c>
      <c r="B915" s="71">
        <v>44104</v>
      </c>
      <c r="C915">
        <v>12806</v>
      </c>
      <c r="D915" t="s">
        <v>1843</v>
      </c>
      <c r="E915" t="s">
        <v>1848</v>
      </c>
      <c r="F915">
        <v>9</v>
      </c>
      <c r="G915" t="s">
        <v>1862</v>
      </c>
    </row>
    <row r="916" spans="1:7" x14ac:dyDescent="0.25">
      <c r="A916" s="69" t="s">
        <v>30</v>
      </c>
      <c r="B916" s="71">
        <v>44196</v>
      </c>
      <c r="C916">
        <v>12806</v>
      </c>
      <c r="D916" t="s">
        <v>1843</v>
      </c>
      <c r="E916" t="s">
        <v>1849</v>
      </c>
      <c r="F916">
        <v>12</v>
      </c>
      <c r="G916" t="s">
        <v>1863</v>
      </c>
    </row>
    <row r="917" spans="1:7" x14ac:dyDescent="0.25">
      <c r="A917" s="69" t="s">
        <v>30</v>
      </c>
      <c r="B917" s="71">
        <v>44286</v>
      </c>
      <c r="C917">
        <v>12806</v>
      </c>
      <c r="D917" t="s">
        <v>1844</v>
      </c>
      <c r="E917" t="s">
        <v>1846</v>
      </c>
      <c r="F917">
        <v>3</v>
      </c>
      <c r="G917" t="s">
        <v>1860</v>
      </c>
    </row>
    <row r="918" spans="1:7" x14ac:dyDescent="0.25">
      <c r="A918" s="69" t="s">
        <v>30</v>
      </c>
      <c r="B918" s="71">
        <v>44377</v>
      </c>
      <c r="C918">
        <v>26443</v>
      </c>
      <c r="D918" t="s">
        <v>1844</v>
      </c>
      <c r="E918" t="s">
        <v>1847</v>
      </c>
      <c r="F918">
        <v>6</v>
      </c>
      <c r="G918" t="s">
        <v>1861</v>
      </c>
    </row>
    <row r="919" spans="1:7" x14ac:dyDescent="0.25">
      <c r="A919" s="69" t="s">
        <v>30</v>
      </c>
      <c r="B919" s="71">
        <v>44469</v>
      </c>
      <c r="C919">
        <v>63149</v>
      </c>
      <c r="D919" t="s">
        <v>1844</v>
      </c>
      <c r="E919" t="s">
        <v>1848</v>
      </c>
      <c r="F919">
        <v>9</v>
      </c>
      <c r="G919" t="s">
        <v>1862</v>
      </c>
    </row>
    <row r="920" spans="1:7" x14ac:dyDescent="0.25">
      <c r="A920" s="69" t="s">
        <v>30</v>
      </c>
      <c r="B920" s="71">
        <v>44561</v>
      </c>
      <c r="C920">
        <v>63149</v>
      </c>
      <c r="D920" t="s">
        <v>1844</v>
      </c>
      <c r="E920" t="s">
        <v>1849</v>
      </c>
      <c r="F920">
        <v>12</v>
      </c>
      <c r="G920" t="s">
        <v>1863</v>
      </c>
    </row>
    <row r="921" spans="1:7" x14ac:dyDescent="0.25">
      <c r="A921" s="69" t="s">
        <v>30</v>
      </c>
      <c r="B921" s="71">
        <v>44651</v>
      </c>
      <c r="C921">
        <v>49275</v>
      </c>
      <c r="D921" t="s">
        <v>1845</v>
      </c>
      <c r="E921" t="s">
        <v>1846</v>
      </c>
      <c r="F921">
        <v>3</v>
      </c>
      <c r="G921" t="s">
        <v>1860</v>
      </c>
    </row>
    <row r="922" spans="1:7" x14ac:dyDescent="0.25">
      <c r="A922" s="69" t="s">
        <v>30</v>
      </c>
      <c r="B922" s="71">
        <v>44742</v>
      </c>
      <c r="C922">
        <v>49275</v>
      </c>
      <c r="D922" t="s">
        <v>1845</v>
      </c>
      <c r="E922" t="s">
        <v>1847</v>
      </c>
      <c r="F922">
        <v>6</v>
      </c>
      <c r="G922" t="s">
        <v>1861</v>
      </c>
    </row>
    <row r="923" spans="1:7" x14ac:dyDescent="0.25">
      <c r="A923" s="69" t="s">
        <v>30</v>
      </c>
      <c r="B923" s="71">
        <v>44834</v>
      </c>
      <c r="C923">
        <v>49275</v>
      </c>
      <c r="D923" t="s">
        <v>1845</v>
      </c>
      <c r="E923" t="s">
        <v>1848</v>
      </c>
      <c r="F923">
        <v>9</v>
      </c>
      <c r="G923" t="s">
        <v>1862</v>
      </c>
    </row>
    <row r="924" spans="1:7" x14ac:dyDescent="0.25">
      <c r="A924" s="69" t="s">
        <v>30</v>
      </c>
      <c r="B924" s="71">
        <v>44926</v>
      </c>
      <c r="C924">
        <v>41602</v>
      </c>
      <c r="D924" t="s">
        <v>1845</v>
      </c>
      <c r="E924" t="s">
        <v>1849</v>
      </c>
      <c r="F924">
        <v>12</v>
      </c>
      <c r="G924" t="s">
        <v>1863</v>
      </c>
    </row>
    <row r="925" spans="1:7" x14ac:dyDescent="0.25">
      <c r="A925" s="69" t="s">
        <v>15</v>
      </c>
      <c r="B925" s="71">
        <v>42460</v>
      </c>
      <c r="C925">
        <v>5009</v>
      </c>
      <c r="D925" t="s">
        <v>1839</v>
      </c>
      <c r="E925" t="s">
        <v>1846</v>
      </c>
      <c r="F925">
        <v>3</v>
      </c>
      <c r="G925" t="s">
        <v>1860</v>
      </c>
    </row>
    <row r="926" spans="1:7" x14ac:dyDescent="0.25">
      <c r="A926" s="69" t="s">
        <v>15</v>
      </c>
      <c r="B926" s="71">
        <v>42551</v>
      </c>
      <c r="C926">
        <v>3655</v>
      </c>
      <c r="D926" t="s">
        <v>1839</v>
      </c>
      <c r="E926" t="s">
        <v>1847</v>
      </c>
      <c r="F926">
        <v>6</v>
      </c>
      <c r="G926" t="s">
        <v>1861</v>
      </c>
    </row>
    <row r="927" spans="1:7" x14ac:dyDescent="0.25">
      <c r="A927" s="69" t="s">
        <v>15</v>
      </c>
      <c r="B927" s="71">
        <v>42643</v>
      </c>
      <c r="C927">
        <v>3858</v>
      </c>
      <c r="D927" t="s">
        <v>1839</v>
      </c>
      <c r="E927" t="s">
        <v>1848</v>
      </c>
      <c r="F927">
        <v>9</v>
      </c>
      <c r="G927" t="s">
        <v>1862</v>
      </c>
    </row>
    <row r="928" spans="1:7" x14ac:dyDescent="0.25">
      <c r="A928" s="69" t="s">
        <v>15</v>
      </c>
      <c r="B928" s="71">
        <v>42735</v>
      </c>
      <c r="C928">
        <v>3628</v>
      </c>
      <c r="D928" t="s">
        <v>1839</v>
      </c>
      <c r="E928" t="s">
        <v>1849</v>
      </c>
      <c r="F928">
        <v>12</v>
      </c>
      <c r="G928" t="s">
        <v>1863</v>
      </c>
    </row>
    <row r="929" spans="1:7" x14ac:dyDescent="0.25">
      <c r="A929" s="69" t="s">
        <v>15</v>
      </c>
      <c r="B929" s="71">
        <v>42825</v>
      </c>
      <c r="C929">
        <v>7573</v>
      </c>
      <c r="D929" t="s">
        <v>1840</v>
      </c>
      <c r="E929" t="s">
        <v>1846</v>
      </c>
      <c r="F929">
        <v>3</v>
      </c>
      <c r="G929" t="s">
        <v>1860</v>
      </c>
    </row>
    <row r="930" spans="1:7" x14ac:dyDescent="0.25">
      <c r="A930" s="69" t="s">
        <v>15</v>
      </c>
      <c r="B930" s="71">
        <v>42916</v>
      </c>
      <c r="C930">
        <v>8497</v>
      </c>
      <c r="D930" t="s">
        <v>1840</v>
      </c>
      <c r="E930" t="s">
        <v>1847</v>
      </c>
      <c r="F930">
        <v>6</v>
      </c>
      <c r="G930" t="s">
        <v>1861</v>
      </c>
    </row>
    <row r="931" spans="1:7" x14ac:dyDescent="0.25">
      <c r="A931" s="69" t="s">
        <v>15</v>
      </c>
      <c r="B931" s="71">
        <v>43008</v>
      </c>
      <c r="C931">
        <v>8815</v>
      </c>
      <c r="D931" t="s">
        <v>1840</v>
      </c>
      <c r="E931" t="s">
        <v>1848</v>
      </c>
      <c r="F931">
        <v>9</v>
      </c>
      <c r="G931" t="s">
        <v>1862</v>
      </c>
    </row>
    <row r="932" spans="1:7" x14ac:dyDescent="0.25">
      <c r="A932" s="69" t="s">
        <v>15</v>
      </c>
      <c r="B932" s="71">
        <v>43100</v>
      </c>
      <c r="C932">
        <v>8833</v>
      </c>
      <c r="D932" t="s">
        <v>1840</v>
      </c>
      <c r="E932" t="s">
        <v>1849</v>
      </c>
      <c r="F932">
        <v>12</v>
      </c>
      <c r="G932" t="s">
        <v>1863</v>
      </c>
    </row>
    <row r="933" spans="1:7" x14ac:dyDescent="0.25">
      <c r="A933" s="69" t="s">
        <v>15</v>
      </c>
      <c r="B933" s="71">
        <v>43190</v>
      </c>
      <c r="C933">
        <v>10131</v>
      </c>
      <c r="D933" t="s">
        <v>1841</v>
      </c>
      <c r="E933" t="s">
        <v>1846</v>
      </c>
      <c r="F933">
        <v>3</v>
      </c>
      <c r="G933" t="s">
        <v>1860</v>
      </c>
    </row>
    <row r="934" spans="1:7" x14ac:dyDescent="0.25">
      <c r="A934" s="69" t="s">
        <v>15</v>
      </c>
      <c r="B934" s="71">
        <v>43281</v>
      </c>
      <c r="C934">
        <v>11745</v>
      </c>
      <c r="D934" t="s">
        <v>1841</v>
      </c>
      <c r="E934" t="s">
        <v>1847</v>
      </c>
      <c r="F934">
        <v>6</v>
      </c>
      <c r="G934" t="s">
        <v>1861</v>
      </c>
    </row>
    <row r="935" spans="1:7" x14ac:dyDescent="0.25">
      <c r="A935" s="69" t="s">
        <v>15</v>
      </c>
      <c r="B935" s="71">
        <v>43373</v>
      </c>
      <c r="C935">
        <v>11955</v>
      </c>
      <c r="D935" t="s">
        <v>1841</v>
      </c>
      <c r="E935" t="s">
        <v>1848</v>
      </c>
      <c r="F935">
        <v>9</v>
      </c>
      <c r="G935" t="s">
        <v>1862</v>
      </c>
    </row>
    <row r="936" spans="1:7" x14ac:dyDescent="0.25">
      <c r="A936" s="69" t="s">
        <v>15</v>
      </c>
      <c r="B936" s="71">
        <v>43465</v>
      </c>
      <c r="C936">
        <v>6688</v>
      </c>
      <c r="D936" t="s">
        <v>1841</v>
      </c>
      <c r="E936" t="s">
        <v>1849</v>
      </c>
      <c r="F936">
        <v>12</v>
      </c>
      <c r="G936" t="s">
        <v>1863</v>
      </c>
    </row>
    <row r="937" spans="1:7" x14ac:dyDescent="0.25">
      <c r="A937" s="69" t="s">
        <v>15</v>
      </c>
      <c r="B937" s="71">
        <v>43555</v>
      </c>
      <c r="C937">
        <v>6494</v>
      </c>
      <c r="D937" t="s">
        <v>1842</v>
      </c>
      <c r="E937" t="s">
        <v>1846</v>
      </c>
      <c r="F937">
        <v>3</v>
      </c>
      <c r="G937" t="s">
        <v>1860</v>
      </c>
    </row>
    <row r="938" spans="1:7" x14ac:dyDescent="0.25">
      <c r="A938" s="69" t="s">
        <v>15</v>
      </c>
      <c r="B938" s="71">
        <v>43646</v>
      </c>
      <c r="C938">
        <v>6444</v>
      </c>
      <c r="D938" t="s">
        <v>1842</v>
      </c>
      <c r="E938" t="s">
        <v>1847</v>
      </c>
      <c r="F938">
        <v>6</v>
      </c>
      <c r="G938" t="s">
        <v>1861</v>
      </c>
    </row>
    <row r="939" spans="1:7" x14ac:dyDescent="0.25">
      <c r="A939" s="69" t="s">
        <v>15</v>
      </c>
      <c r="B939" s="71">
        <v>43738</v>
      </c>
      <c r="C939">
        <v>6491</v>
      </c>
      <c r="D939" t="s">
        <v>1842</v>
      </c>
      <c r="E939" t="s">
        <v>1848</v>
      </c>
      <c r="F939">
        <v>9</v>
      </c>
      <c r="G939" t="s">
        <v>1862</v>
      </c>
    </row>
    <row r="940" spans="1:7" x14ac:dyDescent="0.25">
      <c r="A940" s="69" t="s">
        <v>15</v>
      </c>
      <c r="B940" s="71">
        <v>43830</v>
      </c>
      <c r="C940">
        <v>17089</v>
      </c>
      <c r="D940" t="s">
        <v>1842</v>
      </c>
      <c r="E940" t="s">
        <v>1849</v>
      </c>
      <c r="F940">
        <v>12</v>
      </c>
      <c r="G940" t="s">
        <v>1863</v>
      </c>
    </row>
    <row r="941" spans="1:7" x14ac:dyDescent="0.25">
      <c r="A941" s="69" t="s">
        <v>15</v>
      </c>
      <c r="B941" s="71">
        <v>43921</v>
      </c>
      <c r="C941">
        <v>18982</v>
      </c>
      <c r="D941" t="s">
        <v>1843</v>
      </c>
      <c r="E941" t="s">
        <v>1846</v>
      </c>
      <c r="F941">
        <v>3</v>
      </c>
      <c r="G941" t="s">
        <v>1860</v>
      </c>
    </row>
    <row r="942" spans="1:7" x14ac:dyDescent="0.25">
      <c r="A942" s="69" t="s">
        <v>15</v>
      </c>
      <c r="B942" s="71">
        <v>44012</v>
      </c>
      <c r="C942">
        <v>19352</v>
      </c>
      <c r="D942" t="s">
        <v>1843</v>
      </c>
      <c r="E942" t="s">
        <v>1847</v>
      </c>
      <c r="F942">
        <v>6</v>
      </c>
      <c r="G942" t="s">
        <v>1861</v>
      </c>
    </row>
    <row r="943" spans="1:7" x14ac:dyDescent="0.25">
      <c r="A943" s="69" t="s">
        <v>15</v>
      </c>
      <c r="B943" s="71">
        <v>44104</v>
      </c>
      <c r="C943">
        <v>20450</v>
      </c>
      <c r="D943" t="s">
        <v>1843</v>
      </c>
      <c r="E943" t="s">
        <v>1848</v>
      </c>
      <c r="F943">
        <v>9</v>
      </c>
      <c r="G943" t="s">
        <v>1862</v>
      </c>
    </row>
    <row r="944" spans="1:7" x14ac:dyDescent="0.25">
      <c r="A944" s="69" t="s">
        <v>15</v>
      </c>
      <c r="B944" s="71">
        <v>44196</v>
      </c>
      <c r="C944">
        <v>20144</v>
      </c>
      <c r="D944" t="s">
        <v>1843</v>
      </c>
      <c r="E944" t="s">
        <v>1849</v>
      </c>
      <c r="F944">
        <v>12</v>
      </c>
      <c r="G944" t="s">
        <v>1863</v>
      </c>
    </row>
    <row r="945" spans="1:7" x14ac:dyDescent="0.25">
      <c r="A945" s="69" t="s">
        <v>15</v>
      </c>
      <c r="B945" s="71">
        <v>44286</v>
      </c>
      <c r="C945">
        <v>21124</v>
      </c>
      <c r="D945" t="s">
        <v>1844</v>
      </c>
      <c r="E945" t="s">
        <v>1846</v>
      </c>
      <c r="F945">
        <v>3</v>
      </c>
      <c r="G945" t="s">
        <v>1860</v>
      </c>
    </row>
    <row r="946" spans="1:7" x14ac:dyDescent="0.25">
      <c r="A946" s="69" t="s">
        <v>15</v>
      </c>
      <c r="B946" s="71">
        <v>44377</v>
      </c>
      <c r="C946">
        <v>8393</v>
      </c>
      <c r="D946" t="s">
        <v>1844</v>
      </c>
      <c r="E946" t="s">
        <v>1847</v>
      </c>
      <c r="F946">
        <v>6</v>
      </c>
      <c r="G946" t="s">
        <v>1861</v>
      </c>
    </row>
    <row r="947" spans="1:7" x14ac:dyDescent="0.25">
      <c r="A947" s="69" t="s">
        <v>15</v>
      </c>
      <c r="B947" s="71">
        <v>44469</v>
      </c>
      <c r="C947">
        <v>9055</v>
      </c>
      <c r="D947" t="s">
        <v>1844</v>
      </c>
      <c r="E947" t="s">
        <v>1848</v>
      </c>
      <c r="F947">
        <v>9</v>
      </c>
      <c r="G947" t="s">
        <v>1862</v>
      </c>
    </row>
    <row r="948" spans="1:7" x14ac:dyDescent="0.25">
      <c r="A948" s="69" t="s">
        <v>15</v>
      </c>
      <c r="B948" s="71">
        <v>44561</v>
      </c>
      <c r="C948">
        <v>9154</v>
      </c>
      <c r="D948" t="s">
        <v>1844</v>
      </c>
      <c r="E948" t="s">
        <v>1849</v>
      </c>
      <c r="F948">
        <v>12</v>
      </c>
      <c r="G948" t="s">
        <v>1863</v>
      </c>
    </row>
    <row r="949" spans="1:7" x14ac:dyDescent="0.25">
      <c r="A949" s="69" t="s">
        <v>15</v>
      </c>
      <c r="B949" s="71">
        <v>44651</v>
      </c>
      <c r="C949">
        <v>9022</v>
      </c>
      <c r="D949" t="s">
        <v>1845</v>
      </c>
      <c r="E949" t="s">
        <v>1846</v>
      </c>
      <c r="F949">
        <v>3</v>
      </c>
      <c r="G949" t="s">
        <v>1860</v>
      </c>
    </row>
    <row r="950" spans="1:7" x14ac:dyDescent="0.25">
      <c r="A950" s="69" t="s">
        <v>15</v>
      </c>
      <c r="B950" s="71">
        <v>44742</v>
      </c>
      <c r="C950">
        <v>9621</v>
      </c>
      <c r="D950" t="s">
        <v>1845</v>
      </c>
      <c r="E950" t="s">
        <v>1847</v>
      </c>
      <c r="F950">
        <v>6</v>
      </c>
      <c r="G950" t="s">
        <v>1861</v>
      </c>
    </row>
    <row r="951" spans="1:7" x14ac:dyDescent="0.25">
      <c r="A951" s="69" t="s">
        <v>15</v>
      </c>
      <c r="B951" s="71">
        <v>44834</v>
      </c>
      <c r="C951">
        <v>10164</v>
      </c>
      <c r="D951" t="s">
        <v>1845</v>
      </c>
      <c r="E951" t="s">
        <v>1848</v>
      </c>
      <c r="F951">
        <v>9</v>
      </c>
      <c r="G951" t="s">
        <v>1862</v>
      </c>
    </row>
    <row r="952" spans="1:7" x14ac:dyDescent="0.25">
      <c r="A952" s="69" t="s">
        <v>15</v>
      </c>
      <c r="B952" s="71">
        <v>44926</v>
      </c>
      <c r="C952">
        <v>10482</v>
      </c>
      <c r="D952" t="s">
        <v>1845</v>
      </c>
      <c r="E952" t="s">
        <v>1849</v>
      </c>
      <c r="F952">
        <v>12</v>
      </c>
      <c r="G952" t="s">
        <v>1863</v>
      </c>
    </row>
    <row r="953" spans="1:7" x14ac:dyDescent="0.25">
      <c r="A953" s="69" t="s">
        <v>34</v>
      </c>
      <c r="B953" s="71">
        <v>42460</v>
      </c>
      <c r="C953">
        <v>163085</v>
      </c>
      <c r="D953" t="s">
        <v>1839</v>
      </c>
      <c r="E953" t="s">
        <v>1846</v>
      </c>
      <c r="F953">
        <v>3</v>
      </c>
      <c r="G953" t="s">
        <v>1860</v>
      </c>
    </row>
    <row r="954" spans="1:7" x14ac:dyDescent="0.25">
      <c r="A954" s="69" t="s">
        <v>34</v>
      </c>
      <c r="B954" s="71">
        <v>42551</v>
      </c>
      <c r="C954">
        <v>167586</v>
      </c>
      <c r="D954" t="s">
        <v>1839</v>
      </c>
      <c r="E954" t="s">
        <v>1847</v>
      </c>
      <c r="F954">
        <v>6</v>
      </c>
      <c r="G954" t="s">
        <v>1861</v>
      </c>
    </row>
    <row r="955" spans="1:7" x14ac:dyDescent="0.25">
      <c r="A955" s="69" t="s">
        <v>34</v>
      </c>
      <c r="B955" s="71">
        <v>42643</v>
      </c>
      <c r="C955">
        <v>172786</v>
      </c>
      <c r="D955" t="s">
        <v>1839</v>
      </c>
      <c r="E955" t="s">
        <v>1848</v>
      </c>
      <c r="F955">
        <v>9</v>
      </c>
      <c r="G955" t="s">
        <v>1862</v>
      </c>
    </row>
    <row r="956" spans="1:7" x14ac:dyDescent="0.25">
      <c r="A956" s="69" t="s">
        <v>34</v>
      </c>
      <c r="B956" s="71">
        <v>42735</v>
      </c>
      <c r="C956">
        <v>178832</v>
      </c>
      <c r="D956" t="s">
        <v>1839</v>
      </c>
      <c r="E956" t="s">
        <v>1849</v>
      </c>
      <c r="F956">
        <v>12</v>
      </c>
      <c r="G956" t="s">
        <v>1863</v>
      </c>
    </row>
    <row r="957" spans="1:7" x14ac:dyDescent="0.25">
      <c r="A957" s="69" t="s">
        <v>34</v>
      </c>
      <c r="B957" s="71">
        <v>42825</v>
      </c>
      <c r="C957">
        <v>182154</v>
      </c>
      <c r="D957" t="s">
        <v>1840</v>
      </c>
      <c r="E957" t="s">
        <v>1846</v>
      </c>
      <c r="F957">
        <v>3</v>
      </c>
      <c r="G957" t="s">
        <v>1860</v>
      </c>
    </row>
    <row r="958" spans="1:7" x14ac:dyDescent="0.25">
      <c r="A958" s="69" t="s">
        <v>34</v>
      </c>
      <c r="B958" s="71">
        <v>42916</v>
      </c>
      <c r="C958">
        <v>183910</v>
      </c>
      <c r="D958" t="s">
        <v>1840</v>
      </c>
      <c r="E958" t="s">
        <v>1847</v>
      </c>
      <c r="F958">
        <v>6</v>
      </c>
      <c r="G958" t="s">
        <v>1861</v>
      </c>
    </row>
    <row r="959" spans="1:7" x14ac:dyDescent="0.25">
      <c r="A959" s="69" t="s">
        <v>34</v>
      </c>
      <c r="B959" s="71">
        <v>43008</v>
      </c>
      <c r="C959">
        <v>187569</v>
      </c>
      <c r="D959" t="s">
        <v>1840</v>
      </c>
      <c r="E959" t="s">
        <v>1848</v>
      </c>
      <c r="F959">
        <v>9</v>
      </c>
      <c r="G959" t="s">
        <v>1862</v>
      </c>
    </row>
    <row r="960" spans="1:7" x14ac:dyDescent="0.25">
      <c r="A960" s="69" t="s">
        <v>34</v>
      </c>
      <c r="B960" s="71">
        <v>43100</v>
      </c>
      <c r="C960">
        <v>194778</v>
      </c>
      <c r="D960" t="s">
        <v>1840</v>
      </c>
      <c r="E960" t="s">
        <v>1849</v>
      </c>
      <c r="F960">
        <v>12</v>
      </c>
      <c r="G960" t="s">
        <v>1863</v>
      </c>
    </row>
    <row r="961" spans="1:7" x14ac:dyDescent="0.25">
      <c r="A961" s="69" t="s">
        <v>34</v>
      </c>
      <c r="B961" s="71">
        <v>43190</v>
      </c>
      <c r="C961">
        <v>200203</v>
      </c>
      <c r="D961" t="s">
        <v>1841</v>
      </c>
      <c r="E961" t="s">
        <v>1846</v>
      </c>
      <c r="F961">
        <v>3</v>
      </c>
      <c r="G961" t="s">
        <v>1860</v>
      </c>
    </row>
    <row r="962" spans="1:7" x14ac:dyDescent="0.25">
      <c r="A962" s="69" t="s">
        <v>34</v>
      </c>
      <c r="B962" s="71">
        <v>43281</v>
      </c>
      <c r="C962">
        <v>206790</v>
      </c>
      <c r="D962" t="s">
        <v>1841</v>
      </c>
      <c r="E962" t="s">
        <v>1847</v>
      </c>
      <c r="F962">
        <v>6</v>
      </c>
      <c r="G962" t="s">
        <v>1861</v>
      </c>
    </row>
    <row r="963" spans="1:7" x14ac:dyDescent="0.25">
      <c r="A963" s="69" t="s">
        <v>34</v>
      </c>
      <c r="B963" s="71">
        <v>43373</v>
      </c>
      <c r="C963">
        <v>209089</v>
      </c>
      <c r="D963" t="s">
        <v>1841</v>
      </c>
      <c r="E963" t="s">
        <v>1848</v>
      </c>
      <c r="F963">
        <v>9</v>
      </c>
      <c r="G963" t="s">
        <v>1862</v>
      </c>
    </row>
    <row r="964" spans="1:7" x14ac:dyDescent="0.25">
      <c r="A964" s="69" t="s">
        <v>34</v>
      </c>
      <c r="B964" s="71">
        <v>43465</v>
      </c>
      <c r="C964">
        <v>207987</v>
      </c>
      <c r="D964" t="s">
        <v>1841</v>
      </c>
      <c r="E964" t="s">
        <v>1849</v>
      </c>
      <c r="F964">
        <v>12</v>
      </c>
      <c r="G964" t="s">
        <v>1863</v>
      </c>
    </row>
    <row r="965" spans="1:7" x14ac:dyDescent="0.25">
      <c r="A965" s="69" t="s">
        <v>34</v>
      </c>
      <c r="B965" s="71">
        <v>43555</v>
      </c>
      <c r="C965">
        <v>382345</v>
      </c>
      <c r="D965" t="s">
        <v>1842</v>
      </c>
      <c r="E965" t="s">
        <v>1846</v>
      </c>
      <c r="F965">
        <v>3</v>
      </c>
      <c r="G965" t="s">
        <v>1860</v>
      </c>
    </row>
    <row r="966" spans="1:7" x14ac:dyDescent="0.25">
      <c r="A966" s="69" t="s">
        <v>34</v>
      </c>
      <c r="B966" s="71">
        <v>43646</v>
      </c>
      <c r="C966">
        <v>376961</v>
      </c>
      <c r="D966" t="s">
        <v>1842</v>
      </c>
      <c r="E966" t="s">
        <v>1847</v>
      </c>
      <c r="F966">
        <v>6</v>
      </c>
      <c r="G966" t="s">
        <v>1861</v>
      </c>
    </row>
    <row r="967" spans="1:7" x14ac:dyDescent="0.25">
      <c r="A967" s="69" t="s">
        <v>34</v>
      </c>
      <c r="B967" s="71">
        <v>43738</v>
      </c>
      <c r="C967">
        <v>372629</v>
      </c>
      <c r="D967" t="s">
        <v>1842</v>
      </c>
      <c r="E967" t="s">
        <v>1848</v>
      </c>
      <c r="F967">
        <v>9</v>
      </c>
      <c r="G967" t="s">
        <v>1862</v>
      </c>
    </row>
    <row r="968" spans="1:7" x14ac:dyDescent="0.25">
      <c r="A968" s="69" t="s">
        <v>34</v>
      </c>
      <c r="B968" s="71">
        <v>43830</v>
      </c>
      <c r="C968">
        <v>377119</v>
      </c>
      <c r="D968" t="s">
        <v>1842</v>
      </c>
      <c r="E968" t="s">
        <v>1849</v>
      </c>
      <c r="F968">
        <v>12</v>
      </c>
      <c r="G968" t="s">
        <v>1863</v>
      </c>
    </row>
    <row r="969" spans="1:7" x14ac:dyDescent="0.25">
      <c r="A969" s="69" t="s">
        <v>34</v>
      </c>
      <c r="B969" s="71">
        <v>43921</v>
      </c>
      <c r="C969">
        <v>206742</v>
      </c>
      <c r="D969" t="s">
        <v>1843</v>
      </c>
      <c r="E969" t="s">
        <v>1846</v>
      </c>
      <c r="F969">
        <v>3</v>
      </c>
      <c r="G969" t="s">
        <v>1860</v>
      </c>
    </row>
    <row r="970" spans="1:7" x14ac:dyDescent="0.25">
      <c r="A970" s="69" t="s">
        <v>34</v>
      </c>
      <c r="B970" s="71">
        <v>44012</v>
      </c>
      <c r="C970">
        <v>200641</v>
      </c>
      <c r="D970" t="s">
        <v>1843</v>
      </c>
      <c r="E970" t="s">
        <v>1847</v>
      </c>
      <c r="F970">
        <v>6</v>
      </c>
      <c r="G970" t="s">
        <v>1861</v>
      </c>
    </row>
    <row r="971" spans="1:7" x14ac:dyDescent="0.25">
      <c r="A971" s="69" t="s">
        <v>34</v>
      </c>
      <c r="B971" s="71">
        <v>44104</v>
      </c>
      <c r="C971">
        <v>192076</v>
      </c>
      <c r="D971" t="s">
        <v>1843</v>
      </c>
      <c r="E971" t="s">
        <v>1848</v>
      </c>
      <c r="F971">
        <v>9</v>
      </c>
      <c r="G971" t="s">
        <v>1862</v>
      </c>
    </row>
    <row r="972" spans="1:7" x14ac:dyDescent="0.25">
      <c r="A972" s="69" t="s">
        <v>34</v>
      </c>
      <c r="B972" s="71">
        <v>44196</v>
      </c>
      <c r="C972">
        <v>191827</v>
      </c>
      <c r="D972" t="s">
        <v>1843</v>
      </c>
      <c r="E972" t="s">
        <v>1849</v>
      </c>
      <c r="F972">
        <v>12</v>
      </c>
      <c r="G972" t="s">
        <v>1863</v>
      </c>
    </row>
    <row r="973" spans="1:7" x14ac:dyDescent="0.25">
      <c r="A973" s="69" t="s">
        <v>34</v>
      </c>
      <c r="B973" s="71">
        <v>44286</v>
      </c>
      <c r="C973">
        <v>186036</v>
      </c>
      <c r="D973" t="s">
        <v>1844</v>
      </c>
      <c r="E973" t="s">
        <v>1846</v>
      </c>
      <c r="F973">
        <v>3</v>
      </c>
      <c r="G973" t="s">
        <v>1860</v>
      </c>
    </row>
    <row r="974" spans="1:7" x14ac:dyDescent="0.25">
      <c r="A974" s="69" t="s">
        <v>34</v>
      </c>
      <c r="B974" s="71">
        <v>44377</v>
      </c>
      <c r="C974">
        <v>206503</v>
      </c>
      <c r="D974" t="s">
        <v>1844</v>
      </c>
      <c r="E974" t="s">
        <v>1847</v>
      </c>
      <c r="F974">
        <v>6</v>
      </c>
      <c r="G974" t="s">
        <v>1861</v>
      </c>
    </row>
    <row r="975" spans="1:7" x14ac:dyDescent="0.25">
      <c r="A975" s="69" t="s">
        <v>34</v>
      </c>
      <c r="B975" s="71">
        <v>44469</v>
      </c>
      <c r="C975">
        <v>199660</v>
      </c>
      <c r="D975" t="s">
        <v>1844</v>
      </c>
      <c r="E975" t="s">
        <v>1848</v>
      </c>
      <c r="F975">
        <v>9</v>
      </c>
      <c r="G975" t="s">
        <v>1862</v>
      </c>
    </row>
    <row r="976" spans="1:7" x14ac:dyDescent="0.25">
      <c r="A976" s="69" t="s">
        <v>34</v>
      </c>
      <c r="B976" s="71">
        <v>44561</v>
      </c>
      <c r="C976">
        <v>201252</v>
      </c>
      <c r="D976" t="s">
        <v>1844</v>
      </c>
      <c r="E976" t="s">
        <v>1849</v>
      </c>
      <c r="F976">
        <v>12</v>
      </c>
      <c r="G976" t="s">
        <v>1863</v>
      </c>
    </row>
    <row r="977" spans="1:7" x14ac:dyDescent="0.25">
      <c r="A977" s="69" t="s">
        <v>34</v>
      </c>
      <c r="B977" s="71">
        <v>44651</v>
      </c>
      <c r="C977">
        <v>197379</v>
      </c>
      <c r="D977" t="s">
        <v>1845</v>
      </c>
      <c r="E977" t="s">
        <v>1846</v>
      </c>
      <c r="F977">
        <v>3</v>
      </c>
      <c r="G977" t="s">
        <v>1860</v>
      </c>
    </row>
    <row r="978" spans="1:7" x14ac:dyDescent="0.25">
      <c r="A978" s="69" t="s">
        <v>34</v>
      </c>
      <c r="B978" s="71">
        <v>44742</v>
      </c>
      <c r="C978">
        <v>191453</v>
      </c>
      <c r="D978" t="s">
        <v>1845</v>
      </c>
      <c r="E978" t="s">
        <v>1847</v>
      </c>
      <c r="F978">
        <v>6</v>
      </c>
      <c r="G978" t="s">
        <v>1861</v>
      </c>
    </row>
    <row r="979" spans="1:7" x14ac:dyDescent="0.25">
      <c r="A979" s="69" t="s">
        <v>34</v>
      </c>
      <c r="B979" s="71">
        <v>44834</v>
      </c>
      <c r="C979">
        <v>189013</v>
      </c>
      <c r="D979" t="s">
        <v>1845</v>
      </c>
      <c r="E979" t="s">
        <v>1848</v>
      </c>
      <c r="F979">
        <v>9</v>
      </c>
      <c r="G979" t="s">
        <v>1862</v>
      </c>
    </row>
    <row r="980" spans="1:7" x14ac:dyDescent="0.25">
      <c r="A980" s="69" t="s">
        <v>34</v>
      </c>
      <c r="B980" s="71">
        <v>44926</v>
      </c>
      <c r="C980">
        <v>179354</v>
      </c>
      <c r="D980" t="s">
        <v>1845</v>
      </c>
      <c r="E980" t="s">
        <v>1849</v>
      </c>
      <c r="F980">
        <v>12</v>
      </c>
      <c r="G980" t="s">
        <v>1863</v>
      </c>
    </row>
    <row r="981" spans="1:7" x14ac:dyDescent="0.25">
      <c r="A981" s="69" t="s">
        <v>35</v>
      </c>
      <c r="B981" s="71">
        <v>42460</v>
      </c>
      <c r="C981">
        <v>2213</v>
      </c>
      <c r="D981" t="s">
        <v>1839</v>
      </c>
      <c r="E981" t="s">
        <v>1846</v>
      </c>
      <c r="F981">
        <v>3</v>
      </c>
      <c r="G981" t="s">
        <v>1860</v>
      </c>
    </row>
    <row r="982" spans="1:7" x14ac:dyDescent="0.25">
      <c r="A982" s="69" t="s">
        <v>35</v>
      </c>
      <c r="B982" s="71">
        <v>42551</v>
      </c>
      <c r="C982">
        <v>8203</v>
      </c>
      <c r="D982" t="s">
        <v>1839</v>
      </c>
      <c r="E982" t="s">
        <v>1847</v>
      </c>
      <c r="F982">
        <v>6</v>
      </c>
      <c r="G982" t="s">
        <v>1861</v>
      </c>
    </row>
    <row r="983" spans="1:7" x14ac:dyDescent="0.25">
      <c r="A983" s="69" t="s">
        <v>35</v>
      </c>
      <c r="B983" s="71">
        <v>42643</v>
      </c>
      <c r="C983">
        <v>7960</v>
      </c>
      <c r="D983" t="s">
        <v>1839</v>
      </c>
      <c r="E983" t="s">
        <v>1848</v>
      </c>
      <c r="F983">
        <v>9</v>
      </c>
      <c r="G983" t="s">
        <v>1862</v>
      </c>
    </row>
    <row r="984" spans="1:7" x14ac:dyDescent="0.25">
      <c r="A984" s="69" t="s">
        <v>35</v>
      </c>
      <c r="B984" s="71">
        <v>42735</v>
      </c>
      <c r="C984">
        <v>8010</v>
      </c>
      <c r="D984" t="s">
        <v>1839</v>
      </c>
      <c r="E984" t="s">
        <v>1849</v>
      </c>
      <c r="F984">
        <v>12</v>
      </c>
      <c r="G984" t="s">
        <v>1863</v>
      </c>
    </row>
    <row r="985" spans="1:7" x14ac:dyDescent="0.25">
      <c r="A985" s="69" t="s">
        <v>35</v>
      </c>
      <c r="B985" s="71">
        <v>42825</v>
      </c>
      <c r="C985">
        <v>7774</v>
      </c>
      <c r="D985" t="s">
        <v>1840</v>
      </c>
      <c r="E985" t="s">
        <v>1846</v>
      </c>
      <c r="F985">
        <v>3</v>
      </c>
      <c r="G985" t="s">
        <v>1860</v>
      </c>
    </row>
    <row r="986" spans="1:7" x14ac:dyDescent="0.25">
      <c r="A986" s="69" t="s">
        <v>35</v>
      </c>
      <c r="B986" s="71">
        <v>42916</v>
      </c>
      <c r="C986">
        <v>7611</v>
      </c>
      <c r="D986" t="s">
        <v>1840</v>
      </c>
      <c r="E986" t="s">
        <v>1847</v>
      </c>
      <c r="F986">
        <v>6</v>
      </c>
      <c r="G986" t="s">
        <v>1861</v>
      </c>
    </row>
    <row r="987" spans="1:7" x14ac:dyDescent="0.25">
      <c r="A987" s="69" t="s">
        <v>35</v>
      </c>
      <c r="B987" s="71">
        <v>43008</v>
      </c>
      <c r="C987">
        <v>7395</v>
      </c>
      <c r="D987" t="s">
        <v>1840</v>
      </c>
      <c r="E987" t="s">
        <v>1848</v>
      </c>
      <c r="F987">
        <v>9</v>
      </c>
      <c r="G987" t="s">
        <v>1862</v>
      </c>
    </row>
    <row r="988" spans="1:7" x14ac:dyDescent="0.25">
      <c r="A988" s="69" t="s">
        <v>35</v>
      </c>
      <c r="B988" s="71">
        <v>43100</v>
      </c>
      <c r="C988">
        <v>10931</v>
      </c>
      <c r="D988" t="s">
        <v>1840</v>
      </c>
      <c r="E988" t="s">
        <v>1849</v>
      </c>
      <c r="F988">
        <v>12</v>
      </c>
      <c r="G988" t="s">
        <v>1863</v>
      </c>
    </row>
    <row r="989" spans="1:7" x14ac:dyDescent="0.25">
      <c r="A989" s="69" t="s">
        <v>35</v>
      </c>
      <c r="B989" s="71">
        <v>43190</v>
      </c>
      <c r="C989">
        <v>15160</v>
      </c>
      <c r="D989" t="s">
        <v>1841</v>
      </c>
      <c r="E989" t="s">
        <v>1846</v>
      </c>
      <c r="F989">
        <v>3</v>
      </c>
      <c r="G989" t="s">
        <v>1860</v>
      </c>
    </row>
    <row r="990" spans="1:7" x14ac:dyDescent="0.25">
      <c r="A990" s="69" t="s">
        <v>35</v>
      </c>
      <c r="B990" s="71">
        <v>43281</v>
      </c>
      <c r="C990">
        <v>14376</v>
      </c>
      <c r="D990" t="s">
        <v>1841</v>
      </c>
      <c r="E990" t="s">
        <v>1847</v>
      </c>
      <c r="F990">
        <v>6</v>
      </c>
      <c r="G990" t="s">
        <v>1861</v>
      </c>
    </row>
    <row r="991" spans="1:7" x14ac:dyDescent="0.25">
      <c r="A991" s="69" t="s">
        <v>35</v>
      </c>
      <c r="B991" s="71">
        <v>43373</v>
      </c>
      <c r="C991">
        <v>13750</v>
      </c>
      <c r="D991" t="s">
        <v>1841</v>
      </c>
      <c r="E991" t="s">
        <v>1848</v>
      </c>
      <c r="F991">
        <v>9</v>
      </c>
      <c r="G991" t="s">
        <v>1862</v>
      </c>
    </row>
    <row r="992" spans="1:7" x14ac:dyDescent="0.25">
      <c r="A992" s="69" t="s">
        <v>35</v>
      </c>
      <c r="B992" s="71">
        <v>43465</v>
      </c>
      <c r="C992">
        <v>13231</v>
      </c>
      <c r="D992" t="s">
        <v>1841</v>
      </c>
      <c r="E992" t="s">
        <v>1849</v>
      </c>
      <c r="F992">
        <v>12</v>
      </c>
      <c r="G992" t="s">
        <v>1863</v>
      </c>
    </row>
    <row r="993" spans="1:7" x14ac:dyDescent="0.25">
      <c r="A993" s="69" t="s">
        <v>35</v>
      </c>
      <c r="B993" s="71">
        <v>43555</v>
      </c>
      <c r="C993">
        <v>13007</v>
      </c>
      <c r="D993" t="s">
        <v>1842</v>
      </c>
      <c r="E993" t="s">
        <v>1846</v>
      </c>
      <c r="F993">
        <v>3</v>
      </c>
      <c r="G993" t="s">
        <v>1860</v>
      </c>
    </row>
    <row r="994" spans="1:7" x14ac:dyDescent="0.25">
      <c r="A994" s="69" t="s">
        <v>35</v>
      </c>
      <c r="B994" s="71">
        <v>43646</v>
      </c>
      <c r="C994">
        <v>12222</v>
      </c>
      <c r="D994" t="s">
        <v>1842</v>
      </c>
      <c r="E994" t="s">
        <v>1847</v>
      </c>
      <c r="F994">
        <v>6</v>
      </c>
      <c r="G994" t="s">
        <v>1861</v>
      </c>
    </row>
    <row r="995" spans="1:7" x14ac:dyDescent="0.25">
      <c r="A995" s="69" t="s">
        <v>35</v>
      </c>
      <c r="B995" s="71">
        <v>43738</v>
      </c>
      <c r="C995">
        <v>12624</v>
      </c>
      <c r="D995" t="s">
        <v>1842</v>
      </c>
      <c r="E995" t="s">
        <v>1848</v>
      </c>
      <c r="F995">
        <v>9</v>
      </c>
      <c r="G995" t="s">
        <v>1862</v>
      </c>
    </row>
    <row r="996" spans="1:7" x14ac:dyDescent="0.25">
      <c r="A996" s="69" t="s">
        <v>35</v>
      </c>
      <c r="B996" s="71">
        <v>43830</v>
      </c>
      <c r="C996">
        <v>42490</v>
      </c>
      <c r="D996" t="s">
        <v>1842</v>
      </c>
      <c r="E996" t="s">
        <v>1849</v>
      </c>
      <c r="F996">
        <v>12</v>
      </c>
      <c r="G996" t="s">
        <v>1863</v>
      </c>
    </row>
    <row r="997" spans="1:7" x14ac:dyDescent="0.25">
      <c r="A997" s="69" t="s">
        <v>35</v>
      </c>
      <c r="B997" s="71">
        <v>43921</v>
      </c>
      <c r="C997">
        <v>3045</v>
      </c>
      <c r="D997" t="s">
        <v>1843</v>
      </c>
      <c r="E997" t="s">
        <v>1846</v>
      </c>
      <c r="F997">
        <v>3</v>
      </c>
      <c r="G997" t="s">
        <v>1860</v>
      </c>
    </row>
    <row r="998" spans="1:7" x14ac:dyDescent="0.25">
      <c r="A998" s="69" t="s">
        <v>35</v>
      </c>
      <c r="B998" s="71">
        <v>44012</v>
      </c>
      <c r="C998">
        <v>2937</v>
      </c>
      <c r="D998" t="s">
        <v>1843</v>
      </c>
      <c r="E998" t="s">
        <v>1847</v>
      </c>
      <c r="F998">
        <v>6</v>
      </c>
      <c r="G998" t="s">
        <v>1861</v>
      </c>
    </row>
    <row r="999" spans="1:7" x14ac:dyDescent="0.25">
      <c r="A999" s="69" t="s">
        <v>35</v>
      </c>
      <c r="B999" s="71">
        <v>44104</v>
      </c>
      <c r="C999">
        <v>3090</v>
      </c>
      <c r="D999" t="s">
        <v>1843</v>
      </c>
      <c r="E999" t="s">
        <v>1848</v>
      </c>
      <c r="F999">
        <v>9</v>
      </c>
      <c r="G999" t="s">
        <v>1862</v>
      </c>
    </row>
    <row r="1000" spans="1:7" x14ac:dyDescent="0.25">
      <c r="A1000" s="69" t="s">
        <v>35</v>
      </c>
      <c r="B1000" s="71">
        <v>44196</v>
      </c>
      <c r="C1000">
        <v>3044</v>
      </c>
      <c r="D1000" t="s">
        <v>1843</v>
      </c>
      <c r="E1000" t="s">
        <v>1849</v>
      </c>
      <c r="F1000">
        <v>12</v>
      </c>
      <c r="G1000" t="s">
        <v>1863</v>
      </c>
    </row>
    <row r="1001" spans="1:7" x14ac:dyDescent="0.25">
      <c r="A1001" s="69" t="s">
        <v>35</v>
      </c>
      <c r="B1001" s="71">
        <v>44286</v>
      </c>
      <c r="C1001">
        <v>3212</v>
      </c>
      <c r="D1001" t="s">
        <v>1844</v>
      </c>
      <c r="E1001" t="s">
        <v>1846</v>
      </c>
      <c r="F1001">
        <v>3</v>
      </c>
      <c r="G1001" t="s">
        <v>1860</v>
      </c>
    </row>
    <row r="1002" spans="1:7" x14ac:dyDescent="0.25">
      <c r="A1002" s="69" t="s">
        <v>35</v>
      </c>
      <c r="B1002" s="71">
        <v>44377</v>
      </c>
      <c r="C1002">
        <v>3057</v>
      </c>
      <c r="D1002" t="s">
        <v>1844</v>
      </c>
      <c r="E1002" t="s">
        <v>1847</v>
      </c>
      <c r="F1002">
        <v>6</v>
      </c>
      <c r="G1002" t="s">
        <v>1861</v>
      </c>
    </row>
    <row r="1003" spans="1:7" x14ac:dyDescent="0.25">
      <c r="A1003" s="69" t="s">
        <v>35</v>
      </c>
      <c r="B1003" s="71">
        <v>44469</v>
      </c>
      <c r="C1003">
        <v>2742</v>
      </c>
      <c r="D1003" t="s">
        <v>1844</v>
      </c>
      <c r="E1003" t="s">
        <v>1848</v>
      </c>
      <c r="F1003">
        <v>9</v>
      </c>
      <c r="G1003" t="s">
        <v>1862</v>
      </c>
    </row>
    <row r="1004" spans="1:7" x14ac:dyDescent="0.25">
      <c r="A1004" s="69" t="s">
        <v>35</v>
      </c>
      <c r="B1004" s="71">
        <v>44561</v>
      </c>
      <c r="C1004">
        <v>2009</v>
      </c>
      <c r="D1004" t="s">
        <v>1844</v>
      </c>
      <c r="E1004" t="s">
        <v>1849</v>
      </c>
      <c r="F1004">
        <v>12</v>
      </c>
      <c r="G1004" t="s">
        <v>1863</v>
      </c>
    </row>
    <row r="1005" spans="1:7" x14ac:dyDescent="0.25">
      <c r="A1005" s="69" t="s">
        <v>35</v>
      </c>
      <c r="B1005" s="71">
        <v>44651</v>
      </c>
      <c r="C1005">
        <v>1766</v>
      </c>
      <c r="D1005" t="s">
        <v>1845</v>
      </c>
      <c r="E1005" t="s">
        <v>1846</v>
      </c>
      <c r="F1005">
        <v>3</v>
      </c>
      <c r="G1005" t="s">
        <v>1860</v>
      </c>
    </row>
    <row r="1006" spans="1:7" x14ac:dyDescent="0.25">
      <c r="A1006" s="69" t="s">
        <v>35</v>
      </c>
      <c r="B1006" s="71">
        <v>44742</v>
      </c>
      <c r="C1006">
        <v>8657</v>
      </c>
      <c r="D1006" t="s">
        <v>1845</v>
      </c>
      <c r="E1006" t="s">
        <v>1847</v>
      </c>
      <c r="F1006">
        <v>6</v>
      </c>
      <c r="G1006" t="s">
        <v>1861</v>
      </c>
    </row>
    <row r="1007" spans="1:7" x14ac:dyDescent="0.25">
      <c r="A1007" s="69" t="s">
        <v>35</v>
      </c>
      <c r="B1007" s="71">
        <v>44834</v>
      </c>
      <c r="C1007">
        <v>8226</v>
      </c>
      <c r="D1007" t="s">
        <v>1845</v>
      </c>
      <c r="E1007" t="s">
        <v>1848</v>
      </c>
      <c r="F1007">
        <v>9</v>
      </c>
      <c r="G1007" t="s">
        <v>1862</v>
      </c>
    </row>
    <row r="1008" spans="1:7" x14ac:dyDescent="0.25">
      <c r="A1008" s="69" t="s">
        <v>35</v>
      </c>
      <c r="B1008" s="71">
        <v>44926</v>
      </c>
      <c r="C1008">
        <v>8776</v>
      </c>
      <c r="D1008" t="s">
        <v>1845</v>
      </c>
      <c r="E1008" t="s">
        <v>1849</v>
      </c>
      <c r="F1008">
        <v>12</v>
      </c>
      <c r="G1008" t="s">
        <v>1863</v>
      </c>
    </row>
    <row r="1009" spans="1:7" x14ac:dyDescent="0.25">
      <c r="A1009" s="69" t="s">
        <v>36</v>
      </c>
      <c r="B1009" s="71">
        <v>44286</v>
      </c>
      <c r="C1009">
        <v>11867</v>
      </c>
      <c r="D1009" t="s">
        <v>1844</v>
      </c>
      <c r="E1009" t="s">
        <v>1846</v>
      </c>
      <c r="F1009">
        <v>3</v>
      </c>
      <c r="G1009" t="s">
        <v>1860</v>
      </c>
    </row>
    <row r="1010" spans="1:7" x14ac:dyDescent="0.25">
      <c r="A1010" s="69" t="s">
        <v>36</v>
      </c>
      <c r="B1010" s="71">
        <v>44377</v>
      </c>
      <c r="C1010">
        <v>11850</v>
      </c>
      <c r="D1010" t="s">
        <v>1844</v>
      </c>
      <c r="E1010" t="s">
        <v>1847</v>
      </c>
      <c r="F1010">
        <v>6</v>
      </c>
      <c r="G1010" t="s">
        <v>1861</v>
      </c>
    </row>
    <row r="1011" spans="1:7" x14ac:dyDescent="0.25">
      <c r="A1011" s="69" t="s">
        <v>36</v>
      </c>
      <c r="B1011" s="71">
        <v>44469</v>
      </c>
      <c r="C1011">
        <v>10766</v>
      </c>
      <c r="D1011" t="s">
        <v>1844</v>
      </c>
      <c r="E1011" t="s">
        <v>1848</v>
      </c>
      <c r="F1011">
        <v>9</v>
      </c>
      <c r="G1011" t="s">
        <v>1862</v>
      </c>
    </row>
    <row r="1012" spans="1:7" x14ac:dyDescent="0.25">
      <c r="A1012" s="69" t="s">
        <v>36</v>
      </c>
      <c r="B1012" s="71">
        <v>44561</v>
      </c>
      <c r="C1012">
        <v>8147</v>
      </c>
      <c r="D1012" t="s">
        <v>1844</v>
      </c>
      <c r="E1012" t="s">
        <v>1849</v>
      </c>
      <c r="F1012">
        <v>12</v>
      </c>
      <c r="G1012" t="s">
        <v>1863</v>
      </c>
    </row>
    <row r="1013" spans="1:7" x14ac:dyDescent="0.25">
      <c r="A1013" s="69" t="s">
        <v>36</v>
      </c>
      <c r="B1013" s="71">
        <v>44651</v>
      </c>
      <c r="C1013">
        <v>30546</v>
      </c>
      <c r="D1013" t="s">
        <v>1845</v>
      </c>
      <c r="E1013" t="s">
        <v>1846</v>
      </c>
      <c r="F1013">
        <v>3</v>
      </c>
      <c r="G1013" t="s">
        <v>1860</v>
      </c>
    </row>
    <row r="1014" spans="1:7" x14ac:dyDescent="0.25">
      <c r="A1014" s="69" t="s">
        <v>36</v>
      </c>
      <c r="B1014" s="71">
        <v>44742</v>
      </c>
      <c r="C1014">
        <v>30546</v>
      </c>
      <c r="D1014" t="s">
        <v>1845</v>
      </c>
      <c r="E1014" t="s">
        <v>1847</v>
      </c>
      <c r="F1014">
        <v>6</v>
      </c>
      <c r="G1014" t="s">
        <v>1861</v>
      </c>
    </row>
    <row r="1015" spans="1:7" x14ac:dyDescent="0.25">
      <c r="A1015" s="69" t="s">
        <v>36</v>
      </c>
      <c r="B1015" s="71">
        <v>44834</v>
      </c>
      <c r="C1015">
        <v>34740</v>
      </c>
      <c r="D1015" t="s">
        <v>1845</v>
      </c>
      <c r="E1015" t="s">
        <v>1848</v>
      </c>
      <c r="F1015">
        <v>9</v>
      </c>
      <c r="G1015" t="s">
        <v>1862</v>
      </c>
    </row>
    <row r="1016" spans="1:7" x14ac:dyDescent="0.25">
      <c r="A1016" s="69" t="s">
        <v>36</v>
      </c>
      <c r="B1016" s="71">
        <v>44926</v>
      </c>
      <c r="C1016">
        <v>36856</v>
      </c>
      <c r="D1016" t="s">
        <v>1845</v>
      </c>
      <c r="E1016" t="s">
        <v>1849</v>
      </c>
      <c r="F1016">
        <v>12</v>
      </c>
      <c r="G1016" t="s">
        <v>1863</v>
      </c>
    </row>
    <row r="1017" spans="1:7" x14ac:dyDescent="0.25">
      <c r="A1017" s="69" t="s">
        <v>23</v>
      </c>
      <c r="B1017" s="71">
        <v>43921</v>
      </c>
      <c r="C1017">
        <v>182767</v>
      </c>
      <c r="D1017" t="s">
        <v>1843</v>
      </c>
      <c r="E1017" t="s">
        <v>1846</v>
      </c>
      <c r="F1017">
        <v>3</v>
      </c>
      <c r="G1017" t="s">
        <v>1860</v>
      </c>
    </row>
    <row r="1018" spans="1:7" x14ac:dyDescent="0.25">
      <c r="A1018" s="69" t="s">
        <v>23</v>
      </c>
      <c r="B1018" s="71">
        <v>44012</v>
      </c>
      <c r="C1018">
        <v>180317</v>
      </c>
      <c r="D1018" t="s">
        <v>1843</v>
      </c>
      <c r="E1018" t="s">
        <v>1847</v>
      </c>
      <c r="F1018">
        <v>6</v>
      </c>
      <c r="G1018" t="s">
        <v>1861</v>
      </c>
    </row>
    <row r="1019" spans="1:7" x14ac:dyDescent="0.25">
      <c r="A1019" s="69" t="s">
        <v>23</v>
      </c>
      <c r="B1019" s="71">
        <v>44104</v>
      </c>
      <c r="C1019">
        <v>138803</v>
      </c>
      <c r="D1019" t="s">
        <v>1843</v>
      </c>
      <c r="E1019" t="s">
        <v>1848</v>
      </c>
      <c r="F1019">
        <v>9</v>
      </c>
      <c r="G1019" t="s">
        <v>1862</v>
      </c>
    </row>
    <row r="1020" spans="1:7" x14ac:dyDescent="0.25">
      <c r="A1020" s="69" t="s">
        <v>23</v>
      </c>
      <c r="B1020" s="71">
        <v>44196</v>
      </c>
      <c r="C1020">
        <v>135988</v>
      </c>
      <c r="D1020" t="s">
        <v>1843</v>
      </c>
      <c r="E1020" t="s">
        <v>1849</v>
      </c>
      <c r="F1020">
        <v>12</v>
      </c>
      <c r="G1020" t="s">
        <v>1863</v>
      </c>
    </row>
    <row r="1021" spans="1:7" x14ac:dyDescent="0.25">
      <c r="A1021" s="69" t="s">
        <v>23</v>
      </c>
      <c r="B1021" s="71">
        <v>44286</v>
      </c>
      <c r="C1021">
        <v>133172</v>
      </c>
      <c r="D1021" t="s">
        <v>1844</v>
      </c>
      <c r="E1021" t="s">
        <v>1846</v>
      </c>
      <c r="F1021">
        <v>3</v>
      </c>
      <c r="G1021" t="s">
        <v>1860</v>
      </c>
    </row>
    <row r="1022" spans="1:7" x14ac:dyDescent="0.25">
      <c r="A1022" s="69" t="s">
        <v>23</v>
      </c>
      <c r="B1022" s="71">
        <v>44377</v>
      </c>
      <c r="C1022">
        <v>131295</v>
      </c>
      <c r="D1022" t="s">
        <v>1844</v>
      </c>
      <c r="E1022" t="s">
        <v>1847</v>
      </c>
      <c r="F1022">
        <v>6</v>
      </c>
      <c r="G1022" t="s">
        <v>1861</v>
      </c>
    </row>
    <row r="1023" spans="1:7" x14ac:dyDescent="0.25">
      <c r="A1023" s="69" t="s">
        <v>23</v>
      </c>
      <c r="B1023" s="71">
        <v>44469</v>
      </c>
      <c r="C1023">
        <v>127542</v>
      </c>
      <c r="D1023" t="s">
        <v>1844</v>
      </c>
      <c r="E1023" t="s">
        <v>1848</v>
      </c>
      <c r="F1023">
        <v>9</v>
      </c>
      <c r="G1023" t="s">
        <v>1862</v>
      </c>
    </row>
    <row r="1024" spans="1:7" x14ac:dyDescent="0.25">
      <c r="A1024" s="69" t="s">
        <v>23</v>
      </c>
      <c r="B1024" s="71">
        <v>44561</v>
      </c>
      <c r="C1024">
        <v>124726</v>
      </c>
      <c r="D1024" t="s">
        <v>1844</v>
      </c>
      <c r="E1024" t="s">
        <v>1849</v>
      </c>
      <c r="F1024">
        <v>12</v>
      </c>
      <c r="G1024" t="s">
        <v>1863</v>
      </c>
    </row>
    <row r="1025" spans="1:7" x14ac:dyDescent="0.25">
      <c r="A1025" s="69" t="s">
        <v>23</v>
      </c>
      <c r="B1025" s="71">
        <v>44651</v>
      </c>
      <c r="C1025">
        <v>113168</v>
      </c>
      <c r="D1025" t="s">
        <v>1845</v>
      </c>
      <c r="E1025" t="s">
        <v>1846</v>
      </c>
      <c r="F1025">
        <v>3</v>
      </c>
      <c r="G1025" t="s">
        <v>1860</v>
      </c>
    </row>
    <row r="1026" spans="1:7" x14ac:dyDescent="0.25">
      <c r="A1026" s="69" t="s">
        <v>23</v>
      </c>
      <c r="B1026" s="71">
        <v>44742</v>
      </c>
      <c r="C1026">
        <v>110452</v>
      </c>
      <c r="D1026" t="s">
        <v>1845</v>
      </c>
      <c r="E1026" t="s">
        <v>1847</v>
      </c>
      <c r="F1026">
        <v>6</v>
      </c>
      <c r="G1026" t="s">
        <v>1861</v>
      </c>
    </row>
    <row r="1027" spans="1:7" x14ac:dyDescent="0.25">
      <c r="A1027" s="69" t="s">
        <v>23</v>
      </c>
      <c r="B1027" s="71">
        <v>44834</v>
      </c>
      <c r="C1027">
        <v>103839</v>
      </c>
      <c r="D1027" t="s">
        <v>1845</v>
      </c>
      <c r="E1027" t="s">
        <v>1848</v>
      </c>
      <c r="F1027">
        <v>9</v>
      </c>
      <c r="G1027" t="s">
        <v>1862</v>
      </c>
    </row>
    <row r="1028" spans="1:7" x14ac:dyDescent="0.25">
      <c r="A1028" s="69" t="s">
        <v>23</v>
      </c>
      <c r="B1028" s="71">
        <v>44926</v>
      </c>
      <c r="C1028">
        <v>101186</v>
      </c>
      <c r="D1028" t="s">
        <v>1845</v>
      </c>
      <c r="E1028" t="s">
        <v>1849</v>
      </c>
      <c r="F1028">
        <v>12</v>
      </c>
      <c r="G1028" t="s">
        <v>1863</v>
      </c>
    </row>
    <row r="1029" spans="1:7" x14ac:dyDescent="0.25">
      <c r="A1029" s="69" t="s">
        <v>42</v>
      </c>
      <c r="B1029" s="71">
        <v>42460</v>
      </c>
      <c r="C1029">
        <v>6489</v>
      </c>
      <c r="D1029" t="s">
        <v>1839</v>
      </c>
      <c r="E1029" t="s">
        <v>1846</v>
      </c>
      <c r="F1029">
        <v>3</v>
      </c>
      <c r="G1029" t="s">
        <v>1860</v>
      </c>
    </row>
    <row r="1030" spans="1:7" x14ac:dyDescent="0.25">
      <c r="A1030" s="69" t="s">
        <v>42</v>
      </c>
      <c r="B1030" s="71">
        <v>42551</v>
      </c>
      <c r="C1030">
        <v>6998</v>
      </c>
      <c r="D1030" t="s">
        <v>1839</v>
      </c>
      <c r="E1030" t="s">
        <v>1847</v>
      </c>
      <c r="F1030">
        <v>6</v>
      </c>
      <c r="G1030" t="s">
        <v>1861</v>
      </c>
    </row>
    <row r="1031" spans="1:7" x14ac:dyDescent="0.25">
      <c r="A1031" s="69" t="s">
        <v>42</v>
      </c>
      <c r="B1031" s="71">
        <v>42643</v>
      </c>
      <c r="C1031">
        <v>11142</v>
      </c>
      <c r="D1031" t="s">
        <v>1839</v>
      </c>
      <c r="E1031" t="s">
        <v>1848</v>
      </c>
      <c r="F1031">
        <v>9</v>
      </c>
      <c r="G1031" t="s">
        <v>1862</v>
      </c>
    </row>
    <row r="1032" spans="1:7" x14ac:dyDescent="0.25">
      <c r="A1032" s="69" t="s">
        <v>42</v>
      </c>
      <c r="B1032" s="71">
        <v>42735</v>
      </c>
      <c r="C1032">
        <v>15484</v>
      </c>
      <c r="D1032" t="s">
        <v>1839</v>
      </c>
      <c r="E1032" t="s">
        <v>1849</v>
      </c>
      <c r="F1032">
        <v>12</v>
      </c>
      <c r="G1032" t="s">
        <v>1863</v>
      </c>
    </row>
    <row r="1033" spans="1:7" x14ac:dyDescent="0.25">
      <c r="A1033" s="69" t="s">
        <v>42</v>
      </c>
      <c r="B1033" s="71">
        <v>42825</v>
      </c>
      <c r="C1033">
        <v>8928</v>
      </c>
      <c r="D1033" t="s">
        <v>1840</v>
      </c>
      <c r="E1033" t="s">
        <v>1846</v>
      </c>
      <c r="F1033">
        <v>3</v>
      </c>
      <c r="G1033" t="s">
        <v>1860</v>
      </c>
    </row>
    <row r="1034" spans="1:7" x14ac:dyDescent="0.25">
      <c r="A1034" s="69" t="s">
        <v>42</v>
      </c>
      <c r="B1034" s="71">
        <v>42916</v>
      </c>
      <c r="C1034">
        <v>14510</v>
      </c>
      <c r="D1034" t="s">
        <v>1840</v>
      </c>
      <c r="E1034" t="s">
        <v>1847</v>
      </c>
      <c r="F1034">
        <v>6</v>
      </c>
      <c r="G1034" t="s">
        <v>1861</v>
      </c>
    </row>
    <row r="1035" spans="1:7" x14ac:dyDescent="0.25">
      <c r="A1035" s="69" t="s">
        <v>42</v>
      </c>
      <c r="B1035" s="71">
        <v>43008</v>
      </c>
      <c r="C1035">
        <v>13413</v>
      </c>
      <c r="D1035" t="s">
        <v>1840</v>
      </c>
      <c r="E1035" t="s">
        <v>1848</v>
      </c>
      <c r="F1035">
        <v>9</v>
      </c>
      <c r="G1035" t="s">
        <v>1862</v>
      </c>
    </row>
    <row r="1036" spans="1:7" x14ac:dyDescent="0.25">
      <c r="A1036" s="69" t="s">
        <v>42</v>
      </c>
      <c r="B1036" s="71">
        <v>43100</v>
      </c>
      <c r="C1036">
        <v>17780</v>
      </c>
      <c r="D1036" t="s">
        <v>1840</v>
      </c>
      <c r="E1036" t="s">
        <v>1849</v>
      </c>
      <c r="F1036">
        <v>12</v>
      </c>
      <c r="G1036" t="s">
        <v>1863</v>
      </c>
    </row>
    <row r="1037" spans="1:7" x14ac:dyDescent="0.25">
      <c r="A1037" s="69" t="s">
        <v>42</v>
      </c>
      <c r="B1037" s="71">
        <v>43190</v>
      </c>
      <c r="C1037">
        <v>16893</v>
      </c>
      <c r="D1037" t="s">
        <v>1841</v>
      </c>
      <c r="E1037" t="s">
        <v>1846</v>
      </c>
      <c r="F1037">
        <v>3</v>
      </c>
      <c r="G1037" t="s">
        <v>1860</v>
      </c>
    </row>
    <row r="1038" spans="1:7" x14ac:dyDescent="0.25">
      <c r="A1038" s="69" t="s">
        <v>42</v>
      </c>
      <c r="B1038" s="71">
        <v>43281</v>
      </c>
      <c r="C1038">
        <v>14226</v>
      </c>
      <c r="D1038" t="s">
        <v>1841</v>
      </c>
      <c r="E1038" t="s">
        <v>1847</v>
      </c>
      <c r="F1038">
        <v>6</v>
      </c>
      <c r="G1038" t="s">
        <v>1861</v>
      </c>
    </row>
    <row r="1039" spans="1:7" x14ac:dyDescent="0.25">
      <c r="A1039" s="69" t="s">
        <v>42</v>
      </c>
      <c r="B1039" s="71">
        <v>43373</v>
      </c>
      <c r="C1039">
        <v>15295</v>
      </c>
      <c r="D1039" t="s">
        <v>1841</v>
      </c>
      <c r="E1039" t="s">
        <v>1848</v>
      </c>
      <c r="F1039">
        <v>9</v>
      </c>
      <c r="G1039" t="s">
        <v>1862</v>
      </c>
    </row>
    <row r="1040" spans="1:7" x14ac:dyDescent="0.25">
      <c r="A1040" s="69" t="s">
        <v>42</v>
      </c>
      <c r="B1040" s="71">
        <v>43465</v>
      </c>
      <c r="C1040">
        <v>19944</v>
      </c>
      <c r="D1040" t="s">
        <v>1841</v>
      </c>
      <c r="E1040" t="s">
        <v>1849</v>
      </c>
      <c r="F1040">
        <v>12</v>
      </c>
      <c r="G1040" t="s">
        <v>1863</v>
      </c>
    </row>
    <row r="1041" spans="1:7" x14ac:dyDescent="0.25">
      <c r="A1041" s="69" t="s">
        <v>42</v>
      </c>
      <c r="B1041" s="71">
        <v>43555</v>
      </c>
      <c r="C1041">
        <v>140777</v>
      </c>
      <c r="D1041" t="s">
        <v>1842</v>
      </c>
      <c r="E1041" t="s">
        <v>1846</v>
      </c>
      <c r="F1041">
        <v>3</v>
      </c>
      <c r="G1041" t="s">
        <v>1860</v>
      </c>
    </row>
    <row r="1042" spans="1:7" x14ac:dyDescent="0.25">
      <c r="A1042" s="69" t="s">
        <v>42</v>
      </c>
      <c r="B1042" s="71">
        <v>43646</v>
      </c>
      <c r="C1042">
        <v>139066</v>
      </c>
      <c r="D1042" t="s">
        <v>1842</v>
      </c>
      <c r="E1042" t="s">
        <v>1847</v>
      </c>
      <c r="F1042">
        <v>6</v>
      </c>
      <c r="G1042" t="s">
        <v>1861</v>
      </c>
    </row>
    <row r="1043" spans="1:7" x14ac:dyDescent="0.25">
      <c r="A1043" s="69" t="s">
        <v>42</v>
      </c>
      <c r="B1043" s="71">
        <v>43738</v>
      </c>
      <c r="C1043">
        <v>45827</v>
      </c>
      <c r="D1043" t="s">
        <v>1842</v>
      </c>
      <c r="E1043" t="s">
        <v>1848</v>
      </c>
      <c r="F1043">
        <v>9</v>
      </c>
      <c r="G1043" t="s">
        <v>1862</v>
      </c>
    </row>
    <row r="1044" spans="1:7" x14ac:dyDescent="0.25">
      <c r="A1044" s="69" t="s">
        <v>42</v>
      </c>
      <c r="B1044" s="71">
        <v>43830</v>
      </c>
      <c r="C1044">
        <v>9916</v>
      </c>
      <c r="D1044" t="s">
        <v>1842</v>
      </c>
      <c r="E1044" t="s">
        <v>1849</v>
      </c>
      <c r="F1044">
        <v>12</v>
      </c>
      <c r="G1044" t="s">
        <v>1863</v>
      </c>
    </row>
    <row r="1045" spans="1:7" x14ac:dyDescent="0.25">
      <c r="A1045" s="69" t="s">
        <v>42</v>
      </c>
      <c r="B1045" s="71">
        <v>43921</v>
      </c>
      <c r="C1045">
        <v>1166</v>
      </c>
      <c r="D1045" t="s">
        <v>1843</v>
      </c>
      <c r="E1045" t="s">
        <v>1846</v>
      </c>
      <c r="F1045">
        <v>3</v>
      </c>
      <c r="G1045" t="s">
        <v>1860</v>
      </c>
    </row>
    <row r="1046" spans="1:7" x14ac:dyDescent="0.25">
      <c r="A1046" s="69" t="s">
        <v>42</v>
      </c>
      <c r="B1046" s="71">
        <v>44012</v>
      </c>
      <c r="C1046">
        <v>1412</v>
      </c>
      <c r="D1046" t="s">
        <v>1843</v>
      </c>
      <c r="E1046" t="s">
        <v>1847</v>
      </c>
      <c r="F1046">
        <v>6</v>
      </c>
      <c r="G1046" t="s">
        <v>1861</v>
      </c>
    </row>
    <row r="1047" spans="1:7" x14ac:dyDescent="0.25">
      <c r="A1047" s="69" t="s">
        <v>42</v>
      </c>
      <c r="B1047" s="71">
        <v>44104</v>
      </c>
      <c r="C1047">
        <v>4325</v>
      </c>
      <c r="D1047" t="s">
        <v>1843</v>
      </c>
      <c r="E1047" t="s">
        <v>1848</v>
      </c>
      <c r="F1047">
        <v>9</v>
      </c>
      <c r="G1047" t="s">
        <v>1862</v>
      </c>
    </row>
    <row r="1048" spans="1:7" x14ac:dyDescent="0.25">
      <c r="A1048" s="69" t="s">
        <v>42</v>
      </c>
      <c r="B1048" s="71">
        <v>44196</v>
      </c>
      <c r="C1048">
        <v>5755</v>
      </c>
      <c r="D1048" t="s">
        <v>1843</v>
      </c>
      <c r="E1048" t="s">
        <v>1849</v>
      </c>
      <c r="F1048">
        <v>12</v>
      </c>
      <c r="G1048" t="s">
        <v>1863</v>
      </c>
    </row>
    <row r="1049" spans="1:7" x14ac:dyDescent="0.25">
      <c r="A1049" s="69" t="s">
        <v>42</v>
      </c>
      <c r="B1049" s="71">
        <v>44286</v>
      </c>
      <c r="C1049">
        <v>6114</v>
      </c>
      <c r="D1049" t="s">
        <v>1844</v>
      </c>
      <c r="E1049" t="s">
        <v>1846</v>
      </c>
      <c r="F1049">
        <v>3</v>
      </c>
      <c r="G1049" t="s">
        <v>1860</v>
      </c>
    </row>
    <row r="1050" spans="1:7" x14ac:dyDescent="0.25">
      <c r="A1050" s="69" t="s">
        <v>42</v>
      </c>
      <c r="B1050" s="71">
        <v>44377</v>
      </c>
      <c r="C1050">
        <v>7775</v>
      </c>
      <c r="D1050" t="s">
        <v>1844</v>
      </c>
      <c r="E1050" t="s">
        <v>1847</v>
      </c>
      <c r="F1050">
        <v>6</v>
      </c>
      <c r="G1050" t="s">
        <v>1861</v>
      </c>
    </row>
    <row r="1051" spans="1:7" x14ac:dyDescent="0.25">
      <c r="A1051" s="69" t="s">
        <v>42</v>
      </c>
      <c r="B1051" s="71">
        <v>44469</v>
      </c>
      <c r="C1051">
        <v>8327</v>
      </c>
      <c r="D1051" t="s">
        <v>1844</v>
      </c>
      <c r="E1051" t="s">
        <v>1848</v>
      </c>
      <c r="F1051">
        <v>9</v>
      </c>
      <c r="G1051" t="s">
        <v>1862</v>
      </c>
    </row>
    <row r="1052" spans="1:7" x14ac:dyDescent="0.25">
      <c r="A1052" s="69" t="s">
        <v>42</v>
      </c>
      <c r="B1052" s="71">
        <v>44561</v>
      </c>
      <c r="C1052">
        <v>4322</v>
      </c>
      <c r="D1052" t="s">
        <v>1844</v>
      </c>
      <c r="E1052" t="s">
        <v>1849</v>
      </c>
      <c r="F1052">
        <v>12</v>
      </c>
      <c r="G1052" t="s">
        <v>1863</v>
      </c>
    </row>
    <row r="1053" spans="1:7" x14ac:dyDescent="0.25">
      <c r="A1053" s="69" t="s">
        <v>42</v>
      </c>
      <c r="B1053" s="71">
        <v>44651</v>
      </c>
      <c r="C1053">
        <v>5011</v>
      </c>
      <c r="D1053" t="s">
        <v>1845</v>
      </c>
      <c r="E1053" t="s">
        <v>1846</v>
      </c>
      <c r="F1053">
        <v>3</v>
      </c>
      <c r="G1053" t="s">
        <v>1860</v>
      </c>
    </row>
    <row r="1054" spans="1:7" x14ac:dyDescent="0.25">
      <c r="A1054" s="69" t="s">
        <v>42</v>
      </c>
      <c r="B1054" s="71">
        <v>44742</v>
      </c>
      <c r="C1054">
        <v>5733</v>
      </c>
      <c r="D1054" t="s">
        <v>1845</v>
      </c>
      <c r="E1054" t="s">
        <v>1847</v>
      </c>
      <c r="F1054">
        <v>6</v>
      </c>
      <c r="G1054" t="s">
        <v>1861</v>
      </c>
    </row>
    <row r="1055" spans="1:7" x14ac:dyDescent="0.25">
      <c r="A1055" s="69" t="s">
        <v>42</v>
      </c>
      <c r="B1055" s="71">
        <v>44834</v>
      </c>
      <c r="C1055">
        <v>3143</v>
      </c>
      <c r="D1055" t="s">
        <v>1845</v>
      </c>
      <c r="E1055" t="s">
        <v>1848</v>
      </c>
      <c r="F1055">
        <v>9</v>
      </c>
      <c r="G1055" t="s">
        <v>1862</v>
      </c>
    </row>
    <row r="1056" spans="1:7" x14ac:dyDescent="0.25">
      <c r="A1056" s="69" t="s">
        <v>42</v>
      </c>
      <c r="B1056" s="71">
        <v>44926</v>
      </c>
      <c r="C1056">
        <v>3863</v>
      </c>
      <c r="D1056" t="s">
        <v>1845</v>
      </c>
      <c r="E1056" t="s">
        <v>1849</v>
      </c>
      <c r="F1056">
        <v>12</v>
      </c>
      <c r="G1056" t="s">
        <v>1863</v>
      </c>
    </row>
    <row r="1057" spans="1:7" x14ac:dyDescent="0.25">
      <c r="A1057" s="69" t="s">
        <v>43</v>
      </c>
      <c r="B1057" s="71">
        <v>42460</v>
      </c>
      <c r="C1057">
        <v>24765</v>
      </c>
      <c r="D1057" t="s">
        <v>1839</v>
      </c>
      <c r="E1057" t="s">
        <v>1846</v>
      </c>
      <c r="F1057">
        <v>3</v>
      </c>
      <c r="G1057" t="s">
        <v>1860</v>
      </c>
    </row>
    <row r="1058" spans="1:7" x14ac:dyDescent="0.25">
      <c r="A1058" s="69" t="s">
        <v>43</v>
      </c>
      <c r="B1058" s="71">
        <v>42551</v>
      </c>
      <c r="C1058">
        <v>30334</v>
      </c>
      <c r="D1058" t="s">
        <v>1839</v>
      </c>
      <c r="E1058" t="s">
        <v>1847</v>
      </c>
      <c r="F1058">
        <v>6</v>
      </c>
      <c r="G1058" t="s">
        <v>1861</v>
      </c>
    </row>
    <row r="1059" spans="1:7" x14ac:dyDescent="0.25">
      <c r="A1059" s="69" t="s">
        <v>43</v>
      </c>
      <c r="B1059" s="71">
        <v>42643</v>
      </c>
      <c r="C1059">
        <v>29460</v>
      </c>
      <c r="D1059" t="s">
        <v>1839</v>
      </c>
      <c r="E1059" t="s">
        <v>1848</v>
      </c>
      <c r="F1059">
        <v>9</v>
      </c>
      <c r="G1059" t="s">
        <v>1862</v>
      </c>
    </row>
    <row r="1060" spans="1:7" x14ac:dyDescent="0.25">
      <c r="A1060" s="69" t="s">
        <v>43</v>
      </c>
      <c r="B1060" s="71">
        <v>42735</v>
      </c>
      <c r="C1060">
        <v>25342</v>
      </c>
      <c r="D1060" t="s">
        <v>1839</v>
      </c>
      <c r="E1060" t="s">
        <v>1849</v>
      </c>
      <c r="F1060">
        <v>12</v>
      </c>
      <c r="G1060" t="s">
        <v>1863</v>
      </c>
    </row>
    <row r="1061" spans="1:7" x14ac:dyDescent="0.25">
      <c r="A1061" s="69" t="s">
        <v>43</v>
      </c>
      <c r="B1061" s="71">
        <v>42825</v>
      </c>
      <c r="C1061">
        <v>23915</v>
      </c>
      <c r="D1061" t="s">
        <v>1840</v>
      </c>
      <c r="E1061" t="s">
        <v>1846</v>
      </c>
      <c r="F1061">
        <v>3</v>
      </c>
      <c r="G1061" t="s">
        <v>1860</v>
      </c>
    </row>
    <row r="1062" spans="1:7" x14ac:dyDescent="0.25">
      <c r="A1062" s="69" t="s">
        <v>43</v>
      </c>
      <c r="B1062" s="71">
        <v>42916</v>
      </c>
      <c r="C1062">
        <v>26928</v>
      </c>
      <c r="D1062" t="s">
        <v>1840</v>
      </c>
      <c r="E1062" t="s">
        <v>1847</v>
      </c>
      <c r="F1062">
        <v>6</v>
      </c>
      <c r="G1062" t="s">
        <v>1861</v>
      </c>
    </row>
    <row r="1063" spans="1:7" x14ac:dyDescent="0.25">
      <c r="A1063" s="69" t="s">
        <v>43</v>
      </c>
      <c r="B1063" s="71">
        <v>43008</v>
      </c>
      <c r="C1063">
        <v>28726</v>
      </c>
      <c r="D1063" t="s">
        <v>1840</v>
      </c>
      <c r="E1063" t="s">
        <v>1848</v>
      </c>
      <c r="F1063">
        <v>9</v>
      </c>
      <c r="G1063" t="s">
        <v>1862</v>
      </c>
    </row>
    <row r="1064" spans="1:7" x14ac:dyDescent="0.25">
      <c r="A1064" s="69" t="s">
        <v>43</v>
      </c>
      <c r="B1064" s="71">
        <v>43100</v>
      </c>
      <c r="C1064">
        <v>27675</v>
      </c>
      <c r="D1064" t="s">
        <v>1840</v>
      </c>
      <c r="E1064" t="s">
        <v>1849</v>
      </c>
      <c r="F1064">
        <v>12</v>
      </c>
      <c r="G1064" t="s">
        <v>1863</v>
      </c>
    </row>
    <row r="1065" spans="1:7" x14ac:dyDescent="0.25">
      <c r="A1065" s="69" t="s">
        <v>43</v>
      </c>
      <c r="B1065" s="71">
        <v>43190</v>
      </c>
      <c r="C1065">
        <v>37636</v>
      </c>
      <c r="D1065" t="s">
        <v>1841</v>
      </c>
      <c r="E1065" t="s">
        <v>1846</v>
      </c>
      <c r="F1065">
        <v>3</v>
      </c>
      <c r="G1065" t="s">
        <v>1860</v>
      </c>
    </row>
    <row r="1066" spans="1:7" x14ac:dyDescent="0.25">
      <c r="A1066" s="69" t="s">
        <v>43</v>
      </c>
      <c r="B1066" s="71">
        <v>43281</v>
      </c>
      <c r="C1066">
        <v>38072</v>
      </c>
      <c r="D1066" t="s">
        <v>1841</v>
      </c>
      <c r="E1066" t="s">
        <v>1847</v>
      </c>
      <c r="F1066">
        <v>6</v>
      </c>
      <c r="G1066" t="s">
        <v>1861</v>
      </c>
    </row>
    <row r="1067" spans="1:7" x14ac:dyDescent="0.25">
      <c r="A1067" s="69" t="s">
        <v>43</v>
      </c>
      <c r="B1067" s="71">
        <v>43373</v>
      </c>
      <c r="C1067">
        <v>39349</v>
      </c>
      <c r="D1067" t="s">
        <v>1841</v>
      </c>
      <c r="E1067" t="s">
        <v>1848</v>
      </c>
      <c r="F1067">
        <v>9</v>
      </c>
      <c r="G1067" t="s">
        <v>1862</v>
      </c>
    </row>
    <row r="1068" spans="1:7" x14ac:dyDescent="0.25">
      <c r="A1068" s="69" t="s">
        <v>43</v>
      </c>
      <c r="B1068" s="71">
        <v>43465</v>
      </c>
      <c r="C1068">
        <v>41164</v>
      </c>
      <c r="D1068" t="s">
        <v>1841</v>
      </c>
      <c r="E1068" t="s">
        <v>1849</v>
      </c>
      <c r="F1068">
        <v>12</v>
      </c>
      <c r="G1068" t="s">
        <v>1863</v>
      </c>
    </row>
    <row r="1069" spans="1:7" x14ac:dyDescent="0.25">
      <c r="A1069" s="69" t="s">
        <v>43</v>
      </c>
      <c r="B1069" s="71">
        <v>43555</v>
      </c>
      <c r="C1069">
        <v>35854</v>
      </c>
      <c r="D1069" t="s">
        <v>1842</v>
      </c>
      <c r="E1069" t="s">
        <v>1846</v>
      </c>
      <c r="F1069">
        <v>3</v>
      </c>
      <c r="G1069" t="s">
        <v>1860</v>
      </c>
    </row>
    <row r="1070" spans="1:7" x14ac:dyDescent="0.25">
      <c r="A1070" s="69" t="s">
        <v>43</v>
      </c>
      <c r="B1070" s="71">
        <v>43646</v>
      </c>
      <c r="C1070">
        <v>36880</v>
      </c>
      <c r="D1070" t="s">
        <v>1842</v>
      </c>
      <c r="E1070" t="s">
        <v>1847</v>
      </c>
      <c r="F1070">
        <v>6</v>
      </c>
      <c r="G1070" t="s">
        <v>1861</v>
      </c>
    </row>
    <row r="1071" spans="1:7" x14ac:dyDescent="0.25">
      <c r="A1071" s="69" t="s">
        <v>43</v>
      </c>
      <c r="B1071" s="71">
        <v>43738</v>
      </c>
      <c r="C1071">
        <v>36174</v>
      </c>
      <c r="D1071" t="s">
        <v>1842</v>
      </c>
      <c r="E1071" t="s">
        <v>1848</v>
      </c>
      <c r="F1071">
        <v>9</v>
      </c>
      <c r="G1071" t="s">
        <v>1862</v>
      </c>
    </row>
    <row r="1072" spans="1:7" x14ac:dyDescent="0.25">
      <c r="A1072" s="69" t="s">
        <v>43</v>
      </c>
      <c r="B1072" s="71">
        <v>43830</v>
      </c>
      <c r="C1072">
        <v>41825</v>
      </c>
      <c r="D1072" t="s">
        <v>1842</v>
      </c>
      <c r="E1072" t="s">
        <v>1849</v>
      </c>
      <c r="F1072">
        <v>12</v>
      </c>
      <c r="G1072" t="s">
        <v>1863</v>
      </c>
    </row>
    <row r="1073" spans="1:7" x14ac:dyDescent="0.25">
      <c r="A1073" s="69" t="s">
        <v>43</v>
      </c>
      <c r="B1073" s="71">
        <v>43921</v>
      </c>
      <c r="C1073">
        <v>31826</v>
      </c>
      <c r="D1073" t="s">
        <v>1843</v>
      </c>
      <c r="E1073" t="s">
        <v>1846</v>
      </c>
      <c r="F1073">
        <v>3</v>
      </c>
      <c r="G1073" t="s">
        <v>1860</v>
      </c>
    </row>
    <row r="1074" spans="1:7" x14ac:dyDescent="0.25">
      <c r="A1074" s="69" t="s">
        <v>43</v>
      </c>
      <c r="B1074" s="71">
        <v>44012</v>
      </c>
      <c r="C1074">
        <v>28058</v>
      </c>
      <c r="D1074" t="s">
        <v>1843</v>
      </c>
      <c r="E1074" t="s">
        <v>1847</v>
      </c>
      <c r="F1074">
        <v>6</v>
      </c>
      <c r="G1074" t="s">
        <v>1861</v>
      </c>
    </row>
    <row r="1075" spans="1:7" x14ac:dyDescent="0.25">
      <c r="A1075" s="69" t="s">
        <v>43</v>
      </c>
      <c r="B1075" s="71">
        <v>44104</v>
      </c>
      <c r="C1075">
        <v>23889</v>
      </c>
      <c r="D1075" t="s">
        <v>1843</v>
      </c>
      <c r="E1075" t="s">
        <v>1848</v>
      </c>
      <c r="F1075">
        <v>9</v>
      </c>
      <c r="G1075" t="s">
        <v>1862</v>
      </c>
    </row>
    <row r="1076" spans="1:7" x14ac:dyDescent="0.25">
      <c r="A1076" s="69" t="s">
        <v>43</v>
      </c>
      <c r="B1076" s="71">
        <v>44196</v>
      </c>
      <c r="C1076">
        <v>21541</v>
      </c>
      <c r="D1076" t="s">
        <v>1843</v>
      </c>
      <c r="E1076" t="s">
        <v>1849</v>
      </c>
      <c r="F1076">
        <v>12</v>
      </c>
      <c r="G1076" t="s">
        <v>1863</v>
      </c>
    </row>
    <row r="1077" spans="1:7" x14ac:dyDescent="0.25">
      <c r="A1077" s="69" t="s">
        <v>43</v>
      </c>
      <c r="B1077" s="71">
        <v>44286</v>
      </c>
      <c r="C1077">
        <v>23121</v>
      </c>
      <c r="D1077" t="s">
        <v>1844</v>
      </c>
      <c r="E1077" t="s">
        <v>1846</v>
      </c>
      <c r="F1077">
        <v>3</v>
      </c>
      <c r="G1077" t="s">
        <v>1860</v>
      </c>
    </row>
    <row r="1078" spans="1:7" x14ac:dyDescent="0.25">
      <c r="A1078" s="69" t="s">
        <v>43</v>
      </c>
      <c r="B1078" s="71">
        <v>44377</v>
      </c>
      <c r="C1078">
        <v>28082</v>
      </c>
      <c r="D1078" t="s">
        <v>1844</v>
      </c>
      <c r="E1078" t="s">
        <v>1847</v>
      </c>
      <c r="F1078">
        <v>6</v>
      </c>
      <c r="G1078" t="s">
        <v>1861</v>
      </c>
    </row>
    <row r="1079" spans="1:7" x14ac:dyDescent="0.25">
      <c r="A1079" s="69" t="s">
        <v>43</v>
      </c>
      <c r="B1079" s="71">
        <v>44469</v>
      </c>
      <c r="C1079">
        <v>29511</v>
      </c>
      <c r="D1079" t="s">
        <v>1844</v>
      </c>
      <c r="E1079" t="s">
        <v>1848</v>
      </c>
      <c r="F1079">
        <v>9</v>
      </c>
      <c r="G1079" t="s">
        <v>1862</v>
      </c>
    </row>
    <row r="1080" spans="1:7" x14ac:dyDescent="0.25">
      <c r="A1080" s="69" t="s">
        <v>43</v>
      </c>
      <c r="B1080" s="71">
        <v>44561</v>
      </c>
      <c r="C1080">
        <v>28058</v>
      </c>
      <c r="D1080" t="s">
        <v>1844</v>
      </c>
      <c r="E1080" t="s">
        <v>1849</v>
      </c>
      <c r="F1080">
        <v>12</v>
      </c>
      <c r="G1080" t="s">
        <v>1863</v>
      </c>
    </row>
    <row r="1081" spans="1:7" x14ac:dyDescent="0.25">
      <c r="A1081" s="69" t="s">
        <v>43</v>
      </c>
      <c r="B1081" s="71">
        <v>44651</v>
      </c>
      <c r="C1081">
        <v>29426</v>
      </c>
      <c r="D1081" t="s">
        <v>1845</v>
      </c>
      <c r="E1081" t="s">
        <v>1846</v>
      </c>
      <c r="F1081">
        <v>3</v>
      </c>
      <c r="G1081" t="s">
        <v>1860</v>
      </c>
    </row>
    <row r="1082" spans="1:7" x14ac:dyDescent="0.25">
      <c r="A1082" s="69" t="s">
        <v>43</v>
      </c>
      <c r="B1082" s="71">
        <v>44742</v>
      </c>
      <c r="C1082">
        <v>44723</v>
      </c>
      <c r="D1082" t="s">
        <v>1845</v>
      </c>
      <c r="E1082" t="s">
        <v>1847</v>
      </c>
      <c r="F1082">
        <v>6</v>
      </c>
      <c r="G1082" t="s">
        <v>1861</v>
      </c>
    </row>
    <row r="1083" spans="1:7" x14ac:dyDescent="0.25">
      <c r="A1083" s="69" t="s">
        <v>43</v>
      </c>
      <c r="B1083" s="71">
        <v>44834</v>
      </c>
      <c r="C1083">
        <v>47871</v>
      </c>
      <c r="D1083" t="s">
        <v>1845</v>
      </c>
      <c r="E1083" t="s">
        <v>1848</v>
      </c>
      <c r="F1083">
        <v>9</v>
      </c>
      <c r="G1083" t="s">
        <v>1862</v>
      </c>
    </row>
    <row r="1084" spans="1:7" x14ac:dyDescent="0.25">
      <c r="A1084" s="69" t="s">
        <v>43</v>
      </c>
      <c r="B1084" s="71">
        <v>44926</v>
      </c>
      <c r="C1084">
        <v>34554</v>
      </c>
      <c r="D1084" t="s">
        <v>1845</v>
      </c>
      <c r="E1084" t="s">
        <v>1849</v>
      </c>
      <c r="F1084">
        <v>12</v>
      </c>
      <c r="G1084" t="s">
        <v>1863</v>
      </c>
    </row>
    <row r="1085" spans="1:7" x14ac:dyDescent="0.25">
      <c r="A1085" s="69" t="s">
        <v>51</v>
      </c>
      <c r="B1085" s="71">
        <v>43921</v>
      </c>
      <c r="C1085">
        <v>10543</v>
      </c>
      <c r="D1085" t="s">
        <v>1843</v>
      </c>
      <c r="E1085" t="s">
        <v>1846</v>
      </c>
      <c r="F1085">
        <v>3</v>
      </c>
      <c r="G1085" t="s">
        <v>1860</v>
      </c>
    </row>
    <row r="1086" spans="1:7" x14ac:dyDescent="0.25">
      <c r="A1086" s="69" t="s">
        <v>51</v>
      </c>
      <c r="B1086" s="71">
        <v>44012</v>
      </c>
      <c r="C1086">
        <v>11541</v>
      </c>
      <c r="D1086" t="s">
        <v>1843</v>
      </c>
      <c r="E1086" t="s">
        <v>1847</v>
      </c>
      <c r="F1086">
        <v>6</v>
      </c>
      <c r="G1086" t="s">
        <v>1861</v>
      </c>
    </row>
    <row r="1087" spans="1:7" x14ac:dyDescent="0.25">
      <c r="A1087" s="69" t="s">
        <v>51</v>
      </c>
      <c r="B1087" s="71">
        <v>44104</v>
      </c>
      <c r="C1087">
        <v>10490</v>
      </c>
      <c r="D1087" t="s">
        <v>1843</v>
      </c>
      <c r="E1087" t="s">
        <v>1848</v>
      </c>
      <c r="F1087">
        <v>9</v>
      </c>
      <c r="G1087" t="s">
        <v>1862</v>
      </c>
    </row>
    <row r="1088" spans="1:7" x14ac:dyDescent="0.25">
      <c r="A1088" s="69" t="s">
        <v>51</v>
      </c>
      <c r="B1088" s="71">
        <v>44196</v>
      </c>
      <c r="C1088">
        <v>9644</v>
      </c>
      <c r="D1088" t="s">
        <v>1843</v>
      </c>
      <c r="E1088" t="s">
        <v>1849</v>
      </c>
      <c r="F1088">
        <v>12</v>
      </c>
      <c r="G1088" t="s">
        <v>1863</v>
      </c>
    </row>
    <row r="1089" spans="1:7" x14ac:dyDescent="0.25">
      <c r="A1089" s="69" t="s">
        <v>51</v>
      </c>
      <c r="B1089" s="71">
        <v>44286</v>
      </c>
      <c r="C1089">
        <v>9229</v>
      </c>
      <c r="D1089" t="s">
        <v>1844</v>
      </c>
      <c r="E1089" t="s">
        <v>1846</v>
      </c>
      <c r="F1089">
        <v>3</v>
      </c>
      <c r="G1089" t="s">
        <v>1860</v>
      </c>
    </row>
    <row r="1090" spans="1:7" x14ac:dyDescent="0.25">
      <c r="A1090" s="69" t="s">
        <v>51</v>
      </c>
      <c r="B1090" s="71">
        <v>44377</v>
      </c>
      <c r="C1090">
        <v>9631</v>
      </c>
      <c r="D1090" t="s">
        <v>1844</v>
      </c>
      <c r="E1090" t="s">
        <v>1847</v>
      </c>
      <c r="F1090">
        <v>6</v>
      </c>
      <c r="G1090" t="s">
        <v>1861</v>
      </c>
    </row>
    <row r="1091" spans="1:7" x14ac:dyDescent="0.25">
      <c r="A1091" s="69" t="s">
        <v>51</v>
      </c>
      <c r="B1091" s="71">
        <v>44469</v>
      </c>
      <c r="C1091">
        <v>10400</v>
      </c>
      <c r="D1091" t="s">
        <v>1844</v>
      </c>
      <c r="E1091" t="s">
        <v>1848</v>
      </c>
      <c r="F1091">
        <v>9</v>
      </c>
      <c r="G1091" t="s">
        <v>1862</v>
      </c>
    </row>
    <row r="1092" spans="1:7" x14ac:dyDescent="0.25">
      <c r="A1092" s="69" t="s">
        <v>51</v>
      </c>
      <c r="B1092" s="71">
        <v>44561</v>
      </c>
      <c r="C1092">
        <v>10108</v>
      </c>
      <c r="D1092" t="s">
        <v>1844</v>
      </c>
      <c r="E1092" t="s">
        <v>1849</v>
      </c>
      <c r="F1092">
        <v>12</v>
      </c>
      <c r="G1092" t="s">
        <v>1863</v>
      </c>
    </row>
    <row r="1093" spans="1:7" x14ac:dyDescent="0.25">
      <c r="A1093" s="69" t="s">
        <v>51</v>
      </c>
      <c r="B1093" s="71">
        <v>44651</v>
      </c>
      <c r="C1093">
        <v>9458</v>
      </c>
      <c r="D1093" t="s">
        <v>1845</v>
      </c>
      <c r="E1093" t="s">
        <v>1846</v>
      </c>
      <c r="F1093">
        <v>3</v>
      </c>
      <c r="G1093" t="s">
        <v>1860</v>
      </c>
    </row>
    <row r="1094" spans="1:7" x14ac:dyDescent="0.25">
      <c r="A1094" s="69" t="s">
        <v>51</v>
      </c>
      <c r="B1094" s="71">
        <v>44742</v>
      </c>
      <c r="C1094">
        <v>9841</v>
      </c>
      <c r="D1094" t="s">
        <v>1845</v>
      </c>
      <c r="E1094" t="s">
        <v>1847</v>
      </c>
      <c r="F1094">
        <v>6</v>
      </c>
      <c r="G1094" t="s">
        <v>1861</v>
      </c>
    </row>
    <row r="1095" spans="1:7" x14ac:dyDescent="0.25">
      <c r="A1095" s="69" t="s">
        <v>51</v>
      </c>
      <c r="B1095" s="71">
        <v>44834</v>
      </c>
      <c r="C1095">
        <v>10482</v>
      </c>
      <c r="D1095" t="s">
        <v>1845</v>
      </c>
      <c r="E1095" t="s">
        <v>1848</v>
      </c>
      <c r="F1095">
        <v>9</v>
      </c>
      <c r="G1095" t="s">
        <v>1862</v>
      </c>
    </row>
    <row r="1096" spans="1:7" x14ac:dyDescent="0.25">
      <c r="A1096" s="69" t="s">
        <v>51</v>
      </c>
      <c r="B1096" s="71">
        <v>44926</v>
      </c>
      <c r="C1096">
        <v>10259</v>
      </c>
      <c r="D1096" t="s">
        <v>1845</v>
      </c>
      <c r="E1096" t="s">
        <v>1849</v>
      </c>
      <c r="F1096">
        <v>12</v>
      </c>
      <c r="G1096" t="s">
        <v>1863</v>
      </c>
    </row>
    <row r="1097" spans="1:7" x14ac:dyDescent="0.25">
      <c r="A1097" s="69" t="s">
        <v>42</v>
      </c>
      <c r="B1097" s="71">
        <v>42460</v>
      </c>
      <c r="C1097">
        <v>74904</v>
      </c>
      <c r="D1097" t="s">
        <v>1839</v>
      </c>
      <c r="E1097" t="s">
        <v>1846</v>
      </c>
      <c r="F1097">
        <v>3</v>
      </c>
      <c r="G1097" t="s">
        <v>1860</v>
      </c>
    </row>
    <row r="1098" spans="1:7" x14ac:dyDescent="0.25">
      <c r="A1098" s="69" t="s">
        <v>42</v>
      </c>
      <c r="B1098" s="71">
        <v>42551</v>
      </c>
      <c r="C1098">
        <v>72345</v>
      </c>
      <c r="D1098" t="s">
        <v>1839</v>
      </c>
      <c r="E1098" t="s">
        <v>1847</v>
      </c>
      <c r="F1098">
        <v>6</v>
      </c>
      <c r="G1098" t="s">
        <v>1861</v>
      </c>
    </row>
    <row r="1099" spans="1:7" x14ac:dyDescent="0.25">
      <c r="A1099" s="69" t="s">
        <v>42</v>
      </c>
      <c r="B1099" s="71">
        <v>42643</v>
      </c>
      <c r="C1099">
        <v>72618</v>
      </c>
      <c r="D1099" t="s">
        <v>1839</v>
      </c>
      <c r="E1099" t="s">
        <v>1848</v>
      </c>
      <c r="F1099">
        <v>9</v>
      </c>
      <c r="G1099" t="s">
        <v>1862</v>
      </c>
    </row>
    <row r="1100" spans="1:7" x14ac:dyDescent="0.25">
      <c r="A1100" s="69" t="s">
        <v>42</v>
      </c>
      <c r="B1100" s="71">
        <v>42735</v>
      </c>
      <c r="C1100">
        <v>70801</v>
      </c>
      <c r="D1100" t="s">
        <v>1839</v>
      </c>
      <c r="E1100" t="s">
        <v>1849</v>
      </c>
      <c r="F1100">
        <v>12</v>
      </c>
      <c r="G1100" t="s">
        <v>1863</v>
      </c>
    </row>
    <row r="1101" spans="1:7" x14ac:dyDescent="0.25">
      <c r="A1101" s="69" t="s">
        <v>42</v>
      </c>
      <c r="B1101" s="71">
        <v>42825</v>
      </c>
      <c r="C1101">
        <v>88823</v>
      </c>
      <c r="D1101" t="s">
        <v>1840</v>
      </c>
      <c r="E1101" t="s">
        <v>1846</v>
      </c>
      <c r="F1101">
        <v>3</v>
      </c>
      <c r="G1101" t="s">
        <v>1860</v>
      </c>
    </row>
    <row r="1102" spans="1:7" x14ac:dyDescent="0.25">
      <c r="A1102" s="69" t="s">
        <v>42</v>
      </c>
      <c r="B1102" s="71">
        <v>42916</v>
      </c>
      <c r="C1102">
        <v>87132</v>
      </c>
      <c r="D1102" t="s">
        <v>1840</v>
      </c>
      <c r="E1102" t="s">
        <v>1847</v>
      </c>
      <c r="F1102">
        <v>6</v>
      </c>
      <c r="G1102" t="s">
        <v>1861</v>
      </c>
    </row>
    <row r="1103" spans="1:7" x14ac:dyDescent="0.25">
      <c r="A1103" s="69" t="s">
        <v>42</v>
      </c>
      <c r="B1103" s="71">
        <v>43008</v>
      </c>
      <c r="C1103">
        <v>84790</v>
      </c>
      <c r="D1103" t="s">
        <v>1840</v>
      </c>
      <c r="E1103" t="s">
        <v>1848</v>
      </c>
      <c r="F1103">
        <v>9</v>
      </c>
      <c r="G1103" t="s">
        <v>1862</v>
      </c>
    </row>
    <row r="1104" spans="1:7" x14ac:dyDescent="0.25">
      <c r="A1104" s="69" t="s">
        <v>42</v>
      </c>
      <c r="B1104" s="71">
        <v>43100</v>
      </c>
      <c r="C1104">
        <v>99417</v>
      </c>
      <c r="D1104" t="s">
        <v>1840</v>
      </c>
      <c r="E1104" t="s">
        <v>1849</v>
      </c>
      <c r="F1104">
        <v>12</v>
      </c>
      <c r="G1104" t="s">
        <v>1863</v>
      </c>
    </row>
    <row r="1105" spans="1:7" x14ac:dyDescent="0.25">
      <c r="A1105" s="69" t="s">
        <v>42</v>
      </c>
      <c r="B1105" s="71">
        <v>43190</v>
      </c>
      <c r="C1105">
        <v>95839</v>
      </c>
      <c r="D1105" t="s">
        <v>1841</v>
      </c>
      <c r="E1105" t="s">
        <v>1846</v>
      </c>
      <c r="F1105">
        <v>3</v>
      </c>
      <c r="G1105" t="s">
        <v>1860</v>
      </c>
    </row>
    <row r="1106" spans="1:7" x14ac:dyDescent="0.25">
      <c r="A1106" s="69" t="s">
        <v>42</v>
      </c>
      <c r="B1106" s="71">
        <v>43281</v>
      </c>
      <c r="C1106">
        <v>116901</v>
      </c>
      <c r="D1106" t="s">
        <v>1841</v>
      </c>
      <c r="E1106" t="s">
        <v>1847</v>
      </c>
      <c r="F1106">
        <v>6</v>
      </c>
      <c r="G1106" t="s">
        <v>1861</v>
      </c>
    </row>
    <row r="1107" spans="1:7" x14ac:dyDescent="0.25">
      <c r="A1107" s="69" t="s">
        <v>42</v>
      </c>
      <c r="B1107" s="71">
        <v>43373</v>
      </c>
      <c r="C1107">
        <v>113815</v>
      </c>
      <c r="D1107" t="s">
        <v>1841</v>
      </c>
      <c r="E1107" t="s">
        <v>1848</v>
      </c>
      <c r="F1107">
        <v>9</v>
      </c>
      <c r="G1107" t="s">
        <v>1862</v>
      </c>
    </row>
    <row r="1108" spans="1:7" x14ac:dyDescent="0.25">
      <c r="A1108" s="69" t="s">
        <v>42</v>
      </c>
      <c r="B1108" s="71">
        <v>43465</v>
      </c>
      <c r="C1108">
        <v>112158</v>
      </c>
      <c r="D1108" t="s">
        <v>1841</v>
      </c>
      <c r="E1108" t="s">
        <v>1849</v>
      </c>
      <c r="F1108">
        <v>12</v>
      </c>
      <c r="G1108" t="s">
        <v>1863</v>
      </c>
    </row>
    <row r="1109" spans="1:7" x14ac:dyDescent="0.25">
      <c r="A1109" s="69" t="s">
        <v>42</v>
      </c>
      <c r="B1109" s="71">
        <v>43555</v>
      </c>
      <c r="C1109">
        <v>168831</v>
      </c>
      <c r="D1109" t="s">
        <v>1842</v>
      </c>
      <c r="E1109" t="s">
        <v>1846</v>
      </c>
      <c r="F1109">
        <v>3</v>
      </c>
      <c r="G1109" t="s">
        <v>1860</v>
      </c>
    </row>
    <row r="1110" spans="1:7" x14ac:dyDescent="0.25">
      <c r="A1110" s="69" t="s">
        <v>42</v>
      </c>
      <c r="B1110" s="71">
        <v>43646</v>
      </c>
      <c r="C1110">
        <v>165429</v>
      </c>
      <c r="D1110" t="s">
        <v>1842</v>
      </c>
      <c r="E1110" t="s">
        <v>1847</v>
      </c>
      <c r="F1110">
        <v>6</v>
      </c>
      <c r="G1110" t="s">
        <v>1861</v>
      </c>
    </row>
    <row r="1111" spans="1:7" x14ac:dyDescent="0.25">
      <c r="A1111" s="69" t="s">
        <v>42</v>
      </c>
      <c r="B1111" s="71">
        <v>43738</v>
      </c>
      <c r="C1111">
        <v>268363</v>
      </c>
      <c r="D1111" t="s">
        <v>1842</v>
      </c>
      <c r="E1111" t="s">
        <v>1848</v>
      </c>
      <c r="F1111">
        <v>9</v>
      </c>
      <c r="G1111" t="s">
        <v>1862</v>
      </c>
    </row>
    <row r="1112" spans="1:7" x14ac:dyDescent="0.25">
      <c r="A1112" s="69" t="s">
        <v>42</v>
      </c>
      <c r="B1112" s="71">
        <v>43830</v>
      </c>
      <c r="C1112">
        <v>350354</v>
      </c>
      <c r="D1112" t="s">
        <v>1842</v>
      </c>
      <c r="E1112" t="s">
        <v>1849</v>
      </c>
      <c r="F1112">
        <v>12</v>
      </c>
      <c r="G1112" t="s">
        <v>1863</v>
      </c>
    </row>
    <row r="1113" spans="1:7" x14ac:dyDescent="0.25">
      <c r="A1113" s="69" t="s">
        <v>42</v>
      </c>
      <c r="B1113" s="71">
        <v>43921</v>
      </c>
      <c r="C1113">
        <v>185381</v>
      </c>
      <c r="D1113" t="s">
        <v>1843</v>
      </c>
      <c r="E1113" t="s">
        <v>1846</v>
      </c>
      <c r="F1113">
        <v>3</v>
      </c>
      <c r="G1113" t="s">
        <v>1860</v>
      </c>
    </row>
    <row r="1114" spans="1:7" x14ac:dyDescent="0.25">
      <c r="A1114" s="69" t="s">
        <v>42</v>
      </c>
      <c r="B1114" s="71">
        <v>44012</v>
      </c>
      <c r="C1114">
        <v>200079</v>
      </c>
      <c r="D1114" t="s">
        <v>1843</v>
      </c>
      <c r="E1114" t="s">
        <v>1847</v>
      </c>
      <c r="F1114">
        <v>6</v>
      </c>
      <c r="G1114" t="s">
        <v>1861</v>
      </c>
    </row>
    <row r="1115" spans="1:7" x14ac:dyDescent="0.25">
      <c r="A1115" s="69" t="s">
        <v>42</v>
      </c>
      <c r="B1115" s="71">
        <v>44104</v>
      </c>
      <c r="C1115">
        <v>200799</v>
      </c>
      <c r="D1115" t="s">
        <v>1843</v>
      </c>
      <c r="E1115" t="s">
        <v>1848</v>
      </c>
      <c r="F1115">
        <v>9</v>
      </c>
      <c r="G1115" t="s">
        <v>1862</v>
      </c>
    </row>
    <row r="1116" spans="1:7" x14ac:dyDescent="0.25">
      <c r="A1116" s="69" t="s">
        <v>42</v>
      </c>
      <c r="B1116" s="71">
        <v>44196</v>
      </c>
      <c r="C1116">
        <v>201165</v>
      </c>
      <c r="D1116" t="s">
        <v>1843</v>
      </c>
      <c r="E1116" t="s">
        <v>1849</v>
      </c>
      <c r="F1116">
        <v>12</v>
      </c>
      <c r="G1116" t="s">
        <v>1863</v>
      </c>
    </row>
    <row r="1117" spans="1:7" x14ac:dyDescent="0.25">
      <c r="A1117" s="69" t="s">
        <v>42</v>
      </c>
      <c r="B1117" s="71">
        <v>44286</v>
      </c>
      <c r="C1117">
        <v>207285</v>
      </c>
      <c r="D1117" t="s">
        <v>1844</v>
      </c>
      <c r="E1117" t="s">
        <v>1846</v>
      </c>
      <c r="F1117">
        <v>3</v>
      </c>
      <c r="G1117" t="s">
        <v>1860</v>
      </c>
    </row>
    <row r="1118" spans="1:7" x14ac:dyDescent="0.25">
      <c r="A1118" s="69" t="s">
        <v>42</v>
      </c>
      <c r="B1118" s="71">
        <v>44377</v>
      </c>
      <c r="C1118">
        <v>211560</v>
      </c>
      <c r="D1118" t="s">
        <v>1844</v>
      </c>
      <c r="E1118" t="s">
        <v>1847</v>
      </c>
      <c r="F1118">
        <v>6</v>
      </c>
      <c r="G1118" t="s">
        <v>1861</v>
      </c>
    </row>
    <row r="1119" spans="1:7" x14ac:dyDescent="0.25">
      <c r="A1119" s="69" t="s">
        <v>42</v>
      </c>
      <c r="B1119" s="71">
        <v>44469</v>
      </c>
      <c r="C1119">
        <v>228814</v>
      </c>
      <c r="D1119" t="s">
        <v>1844</v>
      </c>
      <c r="E1119" t="s">
        <v>1848</v>
      </c>
      <c r="F1119">
        <v>9</v>
      </c>
      <c r="G1119" t="s">
        <v>1862</v>
      </c>
    </row>
    <row r="1120" spans="1:7" x14ac:dyDescent="0.25">
      <c r="A1120" s="69" t="s">
        <v>42</v>
      </c>
      <c r="B1120" s="71">
        <v>44561</v>
      </c>
      <c r="C1120">
        <v>219709</v>
      </c>
      <c r="D1120" t="s">
        <v>1844</v>
      </c>
      <c r="E1120" t="s">
        <v>1849</v>
      </c>
      <c r="F1120">
        <v>12</v>
      </c>
      <c r="G1120" t="s">
        <v>1863</v>
      </c>
    </row>
    <row r="1121" spans="1:7" x14ac:dyDescent="0.25">
      <c r="A1121" s="69" t="s">
        <v>42</v>
      </c>
      <c r="B1121" s="71">
        <v>44651</v>
      </c>
      <c r="C1121">
        <v>202490</v>
      </c>
      <c r="D1121" t="s">
        <v>1845</v>
      </c>
      <c r="E1121" t="s">
        <v>1846</v>
      </c>
      <c r="F1121">
        <v>3</v>
      </c>
      <c r="G1121" t="s">
        <v>1860</v>
      </c>
    </row>
    <row r="1122" spans="1:7" x14ac:dyDescent="0.25">
      <c r="A1122" s="69" t="s">
        <v>42</v>
      </c>
      <c r="B1122" s="71">
        <v>44742</v>
      </c>
      <c r="C1122">
        <v>207880</v>
      </c>
      <c r="D1122" t="s">
        <v>1845</v>
      </c>
      <c r="E1122" t="s">
        <v>1847</v>
      </c>
      <c r="F1122">
        <v>6</v>
      </c>
      <c r="G1122" t="s">
        <v>1861</v>
      </c>
    </row>
    <row r="1123" spans="1:7" x14ac:dyDescent="0.25">
      <c r="A1123" s="69" t="s">
        <v>42</v>
      </c>
      <c r="B1123" s="71">
        <v>44834</v>
      </c>
      <c r="C1123">
        <v>218289</v>
      </c>
      <c r="D1123" t="s">
        <v>1845</v>
      </c>
      <c r="E1123" t="s">
        <v>1848</v>
      </c>
      <c r="F1123">
        <v>9</v>
      </c>
      <c r="G1123" t="s">
        <v>1862</v>
      </c>
    </row>
    <row r="1124" spans="1:7" x14ac:dyDescent="0.25">
      <c r="A1124" s="69" t="s">
        <v>42</v>
      </c>
      <c r="B1124" s="71">
        <v>44926</v>
      </c>
      <c r="C1124">
        <v>208153</v>
      </c>
      <c r="D1124" t="s">
        <v>1845</v>
      </c>
      <c r="E1124" t="s">
        <v>1849</v>
      </c>
      <c r="F1124">
        <v>12</v>
      </c>
      <c r="G1124" t="s">
        <v>1863</v>
      </c>
    </row>
    <row r="1125" spans="1:7" x14ac:dyDescent="0.25">
      <c r="A1125" s="69" t="s">
        <v>43</v>
      </c>
      <c r="B1125" s="71">
        <v>42460</v>
      </c>
      <c r="C1125">
        <v>5094</v>
      </c>
      <c r="D1125" t="s">
        <v>1839</v>
      </c>
      <c r="E1125" t="s">
        <v>1846</v>
      </c>
      <c r="F1125">
        <v>3</v>
      </c>
      <c r="G1125" t="s">
        <v>1860</v>
      </c>
    </row>
    <row r="1126" spans="1:7" x14ac:dyDescent="0.25">
      <c r="A1126" s="69" t="s">
        <v>43</v>
      </c>
      <c r="B1126" s="71">
        <v>42551</v>
      </c>
      <c r="C1126">
        <v>10251</v>
      </c>
      <c r="D1126" t="s">
        <v>1839</v>
      </c>
      <c r="E1126" t="s">
        <v>1847</v>
      </c>
      <c r="F1126">
        <v>6</v>
      </c>
      <c r="G1126" t="s">
        <v>1861</v>
      </c>
    </row>
    <row r="1127" spans="1:7" x14ac:dyDescent="0.25">
      <c r="A1127" s="69" t="s">
        <v>43</v>
      </c>
      <c r="B1127" s="71">
        <v>42643</v>
      </c>
      <c r="C1127">
        <v>9835</v>
      </c>
      <c r="D1127" t="s">
        <v>1839</v>
      </c>
      <c r="E1127" t="s">
        <v>1848</v>
      </c>
      <c r="F1127">
        <v>9</v>
      </c>
      <c r="G1127" t="s">
        <v>1862</v>
      </c>
    </row>
    <row r="1128" spans="1:7" x14ac:dyDescent="0.25">
      <c r="A1128" s="69" t="s">
        <v>43</v>
      </c>
      <c r="B1128" s="71">
        <v>42735</v>
      </c>
      <c r="C1128">
        <v>9046</v>
      </c>
      <c r="D1128" t="s">
        <v>1839</v>
      </c>
      <c r="E1128" t="s">
        <v>1849</v>
      </c>
      <c r="F1128">
        <v>12</v>
      </c>
      <c r="G1128" t="s">
        <v>1863</v>
      </c>
    </row>
    <row r="1129" spans="1:7" x14ac:dyDescent="0.25">
      <c r="A1129" s="69" t="s">
        <v>43</v>
      </c>
      <c r="B1129" s="71">
        <v>42825</v>
      </c>
      <c r="C1129">
        <v>8329</v>
      </c>
      <c r="D1129" t="s">
        <v>1840</v>
      </c>
      <c r="E1129" t="s">
        <v>1846</v>
      </c>
      <c r="F1129">
        <v>3</v>
      </c>
      <c r="G1129" t="s">
        <v>1860</v>
      </c>
    </row>
    <row r="1130" spans="1:7" x14ac:dyDescent="0.25">
      <c r="A1130" s="69" t="s">
        <v>43</v>
      </c>
      <c r="B1130" s="71">
        <v>42916</v>
      </c>
      <c r="C1130">
        <v>7792</v>
      </c>
      <c r="D1130" t="s">
        <v>1840</v>
      </c>
      <c r="E1130" t="s">
        <v>1847</v>
      </c>
      <c r="F1130">
        <v>6</v>
      </c>
      <c r="G1130" t="s">
        <v>1861</v>
      </c>
    </row>
    <row r="1131" spans="1:7" x14ac:dyDescent="0.25">
      <c r="A1131" s="69" t="s">
        <v>43</v>
      </c>
      <c r="B1131" s="71">
        <v>43008</v>
      </c>
      <c r="C1131">
        <v>7182</v>
      </c>
      <c r="D1131" t="s">
        <v>1840</v>
      </c>
      <c r="E1131" t="s">
        <v>1848</v>
      </c>
      <c r="F1131">
        <v>9</v>
      </c>
      <c r="G1131" t="s">
        <v>1862</v>
      </c>
    </row>
    <row r="1132" spans="1:7" x14ac:dyDescent="0.25">
      <c r="A1132" s="69" t="s">
        <v>43</v>
      </c>
      <c r="B1132" s="71">
        <v>43100</v>
      </c>
      <c r="C1132">
        <v>10510</v>
      </c>
      <c r="D1132" t="s">
        <v>1840</v>
      </c>
      <c r="E1132" t="s">
        <v>1849</v>
      </c>
      <c r="F1132">
        <v>12</v>
      </c>
      <c r="G1132" t="s">
        <v>1863</v>
      </c>
    </row>
    <row r="1133" spans="1:7" x14ac:dyDescent="0.25">
      <c r="A1133" s="69" t="s">
        <v>43</v>
      </c>
      <c r="B1133" s="71">
        <v>43190</v>
      </c>
      <c r="C1133">
        <v>11657</v>
      </c>
      <c r="D1133" t="s">
        <v>1841</v>
      </c>
      <c r="E1133" t="s">
        <v>1846</v>
      </c>
      <c r="F1133">
        <v>3</v>
      </c>
      <c r="G1133" t="s">
        <v>1860</v>
      </c>
    </row>
    <row r="1134" spans="1:7" x14ac:dyDescent="0.25">
      <c r="A1134" s="69" t="s">
        <v>43</v>
      </c>
      <c r="B1134" s="71">
        <v>43281</v>
      </c>
      <c r="C1134">
        <v>8594</v>
      </c>
      <c r="D1134" t="s">
        <v>1841</v>
      </c>
      <c r="E1134" t="s">
        <v>1847</v>
      </c>
      <c r="F1134">
        <v>6</v>
      </c>
      <c r="G1134" t="s">
        <v>1861</v>
      </c>
    </row>
    <row r="1135" spans="1:7" x14ac:dyDescent="0.25">
      <c r="A1135" s="69" t="s">
        <v>43</v>
      </c>
      <c r="B1135" s="71">
        <v>43373</v>
      </c>
      <c r="C1135">
        <v>8619</v>
      </c>
      <c r="D1135" t="s">
        <v>1841</v>
      </c>
      <c r="E1135" t="s">
        <v>1848</v>
      </c>
      <c r="F1135">
        <v>9</v>
      </c>
      <c r="G1135" t="s">
        <v>1862</v>
      </c>
    </row>
    <row r="1136" spans="1:7" x14ac:dyDescent="0.25">
      <c r="A1136" s="69" t="s">
        <v>43</v>
      </c>
      <c r="B1136" s="71">
        <v>43465</v>
      </c>
      <c r="C1136">
        <v>8975</v>
      </c>
      <c r="D1136" t="s">
        <v>1841</v>
      </c>
      <c r="E1136" t="s">
        <v>1849</v>
      </c>
      <c r="F1136">
        <v>12</v>
      </c>
      <c r="G1136" t="s">
        <v>1863</v>
      </c>
    </row>
    <row r="1137" spans="1:7" x14ac:dyDescent="0.25">
      <c r="A1137" s="69" t="s">
        <v>43</v>
      </c>
      <c r="B1137" s="71">
        <v>43555</v>
      </c>
      <c r="C1137">
        <v>6956</v>
      </c>
      <c r="D1137" t="s">
        <v>1842</v>
      </c>
      <c r="E1137" t="s">
        <v>1846</v>
      </c>
      <c r="F1137">
        <v>3</v>
      </c>
      <c r="G1137" t="s">
        <v>1860</v>
      </c>
    </row>
    <row r="1138" spans="1:7" x14ac:dyDescent="0.25">
      <c r="A1138" s="69" t="s">
        <v>43</v>
      </c>
      <c r="B1138" s="71">
        <v>43646</v>
      </c>
      <c r="C1138">
        <v>6197</v>
      </c>
      <c r="D1138" t="s">
        <v>1842</v>
      </c>
      <c r="E1138" t="s">
        <v>1847</v>
      </c>
      <c r="F1138">
        <v>6</v>
      </c>
      <c r="G1138" t="s">
        <v>1861</v>
      </c>
    </row>
    <row r="1139" spans="1:7" x14ac:dyDescent="0.25">
      <c r="A1139" s="69" t="s">
        <v>43</v>
      </c>
      <c r="B1139" s="71">
        <v>43738</v>
      </c>
      <c r="C1139">
        <v>5659</v>
      </c>
      <c r="D1139" t="s">
        <v>1842</v>
      </c>
      <c r="E1139" t="s">
        <v>1848</v>
      </c>
      <c r="F1139">
        <v>9</v>
      </c>
      <c r="G1139" t="s">
        <v>1862</v>
      </c>
    </row>
    <row r="1140" spans="1:7" x14ac:dyDescent="0.25">
      <c r="A1140" s="69" t="s">
        <v>43</v>
      </c>
      <c r="B1140" s="71">
        <v>43830</v>
      </c>
      <c r="C1140">
        <v>34998</v>
      </c>
      <c r="D1140" t="s">
        <v>1842</v>
      </c>
      <c r="E1140" t="s">
        <v>1849</v>
      </c>
      <c r="F1140">
        <v>12</v>
      </c>
      <c r="G1140" t="s">
        <v>1863</v>
      </c>
    </row>
    <row r="1141" spans="1:7" x14ac:dyDescent="0.25">
      <c r="A1141" s="69" t="s">
        <v>43</v>
      </c>
      <c r="B1141" s="71">
        <v>43921</v>
      </c>
      <c r="C1141">
        <v>1647</v>
      </c>
      <c r="D1141" t="s">
        <v>1843</v>
      </c>
      <c r="E1141" t="s">
        <v>1846</v>
      </c>
      <c r="F1141">
        <v>3</v>
      </c>
      <c r="G1141" t="s">
        <v>1860</v>
      </c>
    </row>
    <row r="1142" spans="1:7" x14ac:dyDescent="0.25">
      <c r="A1142" s="69" t="s">
        <v>43</v>
      </c>
      <c r="B1142" s="71">
        <v>44012</v>
      </c>
      <c r="C1142">
        <v>2048</v>
      </c>
      <c r="D1142" t="s">
        <v>1843</v>
      </c>
      <c r="E1142" t="s">
        <v>1847</v>
      </c>
      <c r="F1142">
        <v>6</v>
      </c>
      <c r="G1142" t="s">
        <v>1861</v>
      </c>
    </row>
    <row r="1143" spans="1:7" x14ac:dyDescent="0.25">
      <c r="A1143" s="69" t="s">
        <v>43</v>
      </c>
      <c r="B1143" s="71">
        <v>44104</v>
      </c>
      <c r="C1143">
        <v>1632</v>
      </c>
      <c r="D1143" t="s">
        <v>1843</v>
      </c>
      <c r="E1143" t="s">
        <v>1848</v>
      </c>
      <c r="F1143">
        <v>9</v>
      </c>
      <c r="G1143" t="s">
        <v>1862</v>
      </c>
    </row>
    <row r="1144" spans="1:7" x14ac:dyDescent="0.25">
      <c r="A1144" s="69" t="s">
        <v>43</v>
      </c>
      <c r="B1144" s="71">
        <v>44196</v>
      </c>
      <c r="C1144">
        <v>2115</v>
      </c>
      <c r="D1144" t="s">
        <v>1843</v>
      </c>
      <c r="E1144" t="s">
        <v>1849</v>
      </c>
      <c r="F1144">
        <v>12</v>
      </c>
      <c r="G1144" t="s">
        <v>1863</v>
      </c>
    </row>
    <row r="1145" spans="1:7" x14ac:dyDescent="0.25">
      <c r="A1145" s="69" t="s">
        <v>43</v>
      </c>
      <c r="B1145" s="71">
        <v>44286</v>
      </c>
      <c r="C1145">
        <v>2463</v>
      </c>
      <c r="D1145" t="s">
        <v>1844</v>
      </c>
      <c r="E1145" t="s">
        <v>1846</v>
      </c>
      <c r="F1145">
        <v>3</v>
      </c>
      <c r="G1145" t="s">
        <v>1860</v>
      </c>
    </row>
    <row r="1146" spans="1:7" x14ac:dyDescent="0.25">
      <c r="A1146" s="69" t="s">
        <v>43</v>
      </c>
      <c r="B1146" s="71">
        <v>44377</v>
      </c>
      <c r="C1146">
        <v>2370</v>
      </c>
      <c r="D1146" t="s">
        <v>1844</v>
      </c>
      <c r="E1146" t="s">
        <v>1847</v>
      </c>
      <c r="F1146">
        <v>6</v>
      </c>
      <c r="G1146" t="s">
        <v>1861</v>
      </c>
    </row>
    <row r="1147" spans="1:7" x14ac:dyDescent="0.25">
      <c r="A1147" s="69" t="s">
        <v>43</v>
      </c>
      <c r="B1147" s="71">
        <v>44469</v>
      </c>
      <c r="C1147">
        <v>2838</v>
      </c>
      <c r="D1147" t="s">
        <v>1844</v>
      </c>
      <c r="E1147" t="s">
        <v>1848</v>
      </c>
      <c r="F1147">
        <v>9</v>
      </c>
      <c r="G1147" t="s">
        <v>1862</v>
      </c>
    </row>
    <row r="1148" spans="1:7" x14ac:dyDescent="0.25">
      <c r="A1148" s="69" t="s">
        <v>43</v>
      </c>
      <c r="B1148" s="71">
        <v>44561</v>
      </c>
      <c r="C1148">
        <v>2997</v>
      </c>
      <c r="D1148" t="s">
        <v>1844</v>
      </c>
      <c r="E1148" t="s">
        <v>1849</v>
      </c>
      <c r="F1148">
        <v>12</v>
      </c>
      <c r="G1148" t="s">
        <v>1863</v>
      </c>
    </row>
    <row r="1149" spans="1:7" x14ac:dyDescent="0.25">
      <c r="A1149" s="69" t="s">
        <v>43</v>
      </c>
      <c r="B1149" s="71">
        <v>44651</v>
      </c>
      <c r="C1149">
        <v>2906</v>
      </c>
      <c r="D1149" t="s">
        <v>1845</v>
      </c>
      <c r="E1149" t="s">
        <v>1846</v>
      </c>
      <c r="F1149">
        <v>3</v>
      </c>
      <c r="G1149" t="s">
        <v>1860</v>
      </c>
    </row>
    <row r="1150" spans="1:7" x14ac:dyDescent="0.25">
      <c r="A1150" s="69" t="s">
        <v>43</v>
      </c>
      <c r="B1150" s="71">
        <v>44742</v>
      </c>
      <c r="C1150">
        <v>2814</v>
      </c>
      <c r="D1150" t="s">
        <v>1845</v>
      </c>
      <c r="E1150" t="s">
        <v>1847</v>
      </c>
      <c r="F1150">
        <v>6</v>
      </c>
      <c r="G1150" t="s">
        <v>1861</v>
      </c>
    </row>
    <row r="1151" spans="1:7" x14ac:dyDescent="0.25">
      <c r="A1151" s="69" t="s">
        <v>43</v>
      </c>
      <c r="B1151" s="71">
        <v>44834</v>
      </c>
      <c r="C1151">
        <v>2253</v>
      </c>
      <c r="D1151" t="s">
        <v>1845</v>
      </c>
      <c r="E1151" t="s">
        <v>1848</v>
      </c>
      <c r="F1151">
        <v>9</v>
      </c>
      <c r="G1151" t="s">
        <v>1862</v>
      </c>
    </row>
    <row r="1152" spans="1:7" x14ac:dyDescent="0.25">
      <c r="A1152" s="69" t="s">
        <v>43</v>
      </c>
      <c r="B1152" s="71">
        <v>44926</v>
      </c>
      <c r="C1152">
        <v>2253</v>
      </c>
      <c r="D1152" t="s">
        <v>1845</v>
      </c>
      <c r="E1152" t="s">
        <v>1849</v>
      </c>
      <c r="F1152">
        <v>12</v>
      </c>
      <c r="G1152" t="s">
        <v>1863</v>
      </c>
    </row>
    <row r="1153" spans="1:7" x14ac:dyDescent="0.25">
      <c r="A1153" s="69" t="s">
        <v>57</v>
      </c>
      <c r="B1153" s="71">
        <v>42460</v>
      </c>
      <c r="C1153">
        <v>9606</v>
      </c>
      <c r="D1153" t="s">
        <v>1839</v>
      </c>
      <c r="E1153" t="s">
        <v>1846</v>
      </c>
      <c r="F1153">
        <v>3</v>
      </c>
      <c r="G1153" t="s">
        <v>1860</v>
      </c>
    </row>
    <row r="1154" spans="1:7" x14ac:dyDescent="0.25">
      <c r="A1154" s="69" t="s">
        <v>57</v>
      </c>
      <c r="B1154" s="71">
        <v>42551</v>
      </c>
      <c r="C1154">
        <v>9800</v>
      </c>
      <c r="D1154" t="s">
        <v>1839</v>
      </c>
      <c r="E1154" t="s">
        <v>1847</v>
      </c>
      <c r="F1154">
        <v>6</v>
      </c>
      <c r="G1154" t="s">
        <v>1861</v>
      </c>
    </row>
    <row r="1155" spans="1:7" x14ac:dyDescent="0.25">
      <c r="A1155" s="69" t="s">
        <v>57</v>
      </c>
      <c r="B1155" s="71">
        <v>42643</v>
      </c>
      <c r="C1155">
        <v>9803</v>
      </c>
      <c r="D1155" t="s">
        <v>1839</v>
      </c>
      <c r="E1155" t="s">
        <v>1848</v>
      </c>
      <c r="F1155">
        <v>9</v>
      </c>
      <c r="G1155" t="s">
        <v>1862</v>
      </c>
    </row>
    <row r="1156" spans="1:7" x14ac:dyDescent="0.25">
      <c r="A1156" s="69" t="s">
        <v>57</v>
      </c>
      <c r="B1156" s="71">
        <v>42735</v>
      </c>
      <c r="C1156">
        <v>9210</v>
      </c>
      <c r="D1156" t="s">
        <v>1839</v>
      </c>
      <c r="E1156" t="s">
        <v>1849</v>
      </c>
      <c r="F1156">
        <v>12</v>
      </c>
      <c r="G1156" t="s">
        <v>1863</v>
      </c>
    </row>
    <row r="1157" spans="1:7" x14ac:dyDescent="0.25">
      <c r="A1157" s="69" t="s">
        <v>57</v>
      </c>
      <c r="B1157" s="71">
        <v>42825</v>
      </c>
      <c r="C1157">
        <v>12771</v>
      </c>
      <c r="D1157" t="s">
        <v>1840</v>
      </c>
      <c r="E1157" t="s">
        <v>1846</v>
      </c>
      <c r="F1157">
        <v>3</v>
      </c>
      <c r="G1157" t="s">
        <v>1860</v>
      </c>
    </row>
    <row r="1158" spans="1:7" x14ac:dyDescent="0.25">
      <c r="A1158" s="69" t="s">
        <v>57</v>
      </c>
      <c r="B1158" s="71">
        <v>42916</v>
      </c>
      <c r="C1158">
        <v>12766</v>
      </c>
      <c r="D1158" t="s">
        <v>1840</v>
      </c>
      <c r="E1158" t="s">
        <v>1847</v>
      </c>
      <c r="F1158">
        <v>6</v>
      </c>
      <c r="G1158" t="s">
        <v>1861</v>
      </c>
    </row>
    <row r="1159" spans="1:7" x14ac:dyDescent="0.25">
      <c r="A1159" s="69" t="s">
        <v>57</v>
      </c>
      <c r="B1159" s="71">
        <v>43008</v>
      </c>
      <c r="C1159">
        <v>12593</v>
      </c>
      <c r="D1159" t="s">
        <v>1840</v>
      </c>
      <c r="E1159" t="s">
        <v>1848</v>
      </c>
      <c r="F1159">
        <v>9</v>
      </c>
      <c r="G1159" t="s">
        <v>1862</v>
      </c>
    </row>
    <row r="1160" spans="1:7" x14ac:dyDescent="0.25">
      <c r="A1160" s="69" t="s">
        <v>57</v>
      </c>
      <c r="B1160" s="71">
        <v>43100</v>
      </c>
      <c r="C1160">
        <v>12520</v>
      </c>
      <c r="D1160" t="s">
        <v>1840</v>
      </c>
      <c r="E1160" t="s">
        <v>1849</v>
      </c>
      <c r="F1160">
        <v>12</v>
      </c>
      <c r="G1160" t="s">
        <v>1863</v>
      </c>
    </row>
    <row r="1161" spans="1:7" x14ac:dyDescent="0.25">
      <c r="A1161" s="69" t="s">
        <v>57</v>
      </c>
      <c r="B1161" s="71">
        <v>43190</v>
      </c>
      <c r="C1161">
        <v>12359</v>
      </c>
      <c r="D1161" t="s">
        <v>1841</v>
      </c>
      <c r="E1161" t="s">
        <v>1846</v>
      </c>
      <c r="F1161">
        <v>3</v>
      </c>
      <c r="G1161" t="s">
        <v>1860</v>
      </c>
    </row>
    <row r="1162" spans="1:7" x14ac:dyDescent="0.25">
      <c r="A1162" s="69" t="s">
        <v>57</v>
      </c>
      <c r="B1162" s="71">
        <v>43281</v>
      </c>
      <c r="C1162">
        <v>12396</v>
      </c>
      <c r="D1162" t="s">
        <v>1841</v>
      </c>
      <c r="E1162" t="s">
        <v>1847</v>
      </c>
      <c r="F1162">
        <v>6</v>
      </c>
      <c r="G1162" t="s">
        <v>1861</v>
      </c>
    </row>
    <row r="1163" spans="1:7" x14ac:dyDescent="0.25">
      <c r="A1163" s="69" t="s">
        <v>57</v>
      </c>
      <c r="B1163" s="71">
        <v>43373</v>
      </c>
      <c r="C1163">
        <v>12444</v>
      </c>
      <c r="D1163" t="s">
        <v>1841</v>
      </c>
      <c r="E1163" t="s">
        <v>1848</v>
      </c>
      <c r="F1163">
        <v>9</v>
      </c>
      <c r="G1163" t="s">
        <v>1862</v>
      </c>
    </row>
    <row r="1164" spans="1:7" x14ac:dyDescent="0.25">
      <c r="A1164" s="69" t="s">
        <v>57</v>
      </c>
      <c r="B1164" s="71">
        <v>43465</v>
      </c>
      <c r="C1164">
        <v>12486</v>
      </c>
      <c r="D1164" t="s">
        <v>1841</v>
      </c>
      <c r="E1164" t="s">
        <v>1849</v>
      </c>
      <c r="F1164">
        <v>12</v>
      </c>
      <c r="G1164" t="s">
        <v>1863</v>
      </c>
    </row>
    <row r="1165" spans="1:7" x14ac:dyDescent="0.25">
      <c r="A1165" s="69" t="s">
        <v>57</v>
      </c>
      <c r="B1165" s="71">
        <v>43555</v>
      </c>
      <c r="C1165">
        <v>8274</v>
      </c>
      <c r="D1165" t="s">
        <v>1842</v>
      </c>
      <c r="E1165" t="s">
        <v>1846</v>
      </c>
      <c r="F1165">
        <v>3</v>
      </c>
      <c r="G1165" t="s">
        <v>1860</v>
      </c>
    </row>
    <row r="1166" spans="1:7" x14ac:dyDescent="0.25">
      <c r="A1166" s="69" t="s">
        <v>57</v>
      </c>
      <c r="B1166" s="71">
        <v>43646</v>
      </c>
      <c r="C1166">
        <v>8350</v>
      </c>
      <c r="D1166" t="s">
        <v>1842</v>
      </c>
      <c r="E1166" t="s">
        <v>1847</v>
      </c>
      <c r="F1166">
        <v>6</v>
      </c>
      <c r="G1166" t="s">
        <v>1861</v>
      </c>
    </row>
    <row r="1167" spans="1:7" x14ac:dyDescent="0.25">
      <c r="A1167" s="69" t="s">
        <v>57</v>
      </c>
      <c r="B1167" s="71">
        <v>43738</v>
      </c>
      <c r="C1167">
        <v>8397</v>
      </c>
      <c r="D1167" t="s">
        <v>1842</v>
      </c>
      <c r="E1167" t="s">
        <v>1848</v>
      </c>
      <c r="F1167">
        <v>9</v>
      </c>
      <c r="G1167" t="s">
        <v>1862</v>
      </c>
    </row>
    <row r="1168" spans="1:7" x14ac:dyDescent="0.25">
      <c r="A1168" s="69" t="s">
        <v>57</v>
      </c>
      <c r="B1168" s="71">
        <v>43830</v>
      </c>
      <c r="C1168">
        <v>8474</v>
      </c>
      <c r="D1168" t="s">
        <v>1842</v>
      </c>
      <c r="E1168" t="s">
        <v>1849</v>
      </c>
      <c r="F1168">
        <v>12</v>
      </c>
      <c r="G1168" t="s">
        <v>1863</v>
      </c>
    </row>
    <row r="1169" spans="1:7" x14ac:dyDescent="0.25">
      <c r="A1169" s="69" t="s">
        <v>57</v>
      </c>
      <c r="B1169" s="71">
        <v>43921</v>
      </c>
      <c r="C1169">
        <v>4451</v>
      </c>
      <c r="D1169" t="s">
        <v>1843</v>
      </c>
      <c r="E1169" t="s">
        <v>1846</v>
      </c>
      <c r="F1169">
        <v>3</v>
      </c>
      <c r="G1169" t="s">
        <v>1860</v>
      </c>
    </row>
    <row r="1170" spans="1:7" x14ac:dyDescent="0.25">
      <c r="A1170" s="69" t="s">
        <v>57</v>
      </c>
      <c r="B1170" s="71">
        <v>44012</v>
      </c>
      <c r="C1170">
        <v>830</v>
      </c>
      <c r="D1170" t="s">
        <v>1843</v>
      </c>
      <c r="E1170" t="s">
        <v>1847</v>
      </c>
      <c r="F1170">
        <v>6</v>
      </c>
      <c r="G1170" t="s">
        <v>1861</v>
      </c>
    </row>
    <row r="1171" spans="1:7" x14ac:dyDescent="0.25">
      <c r="A1171" s="69" t="s">
        <v>57</v>
      </c>
      <c r="B1171" s="71">
        <v>44104</v>
      </c>
      <c r="C1171">
        <v>742</v>
      </c>
      <c r="D1171" t="s">
        <v>1843</v>
      </c>
      <c r="E1171" t="s">
        <v>1848</v>
      </c>
      <c r="F1171">
        <v>9</v>
      </c>
      <c r="G1171" t="s">
        <v>1862</v>
      </c>
    </row>
    <row r="1172" spans="1:7" x14ac:dyDescent="0.25">
      <c r="A1172" s="69" t="s">
        <v>57</v>
      </c>
      <c r="B1172" s="71">
        <v>44196</v>
      </c>
      <c r="C1172">
        <v>2992</v>
      </c>
      <c r="D1172" t="s">
        <v>1843</v>
      </c>
      <c r="E1172" t="s">
        <v>1849</v>
      </c>
      <c r="F1172">
        <v>12</v>
      </c>
      <c r="G1172" t="s">
        <v>1863</v>
      </c>
    </row>
    <row r="1173" spans="1:7" x14ac:dyDescent="0.25">
      <c r="A1173" s="69" t="s">
        <v>51</v>
      </c>
      <c r="B1173" s="71">
        <v>43921</v>
      </c>
      <c r="C1173">
        <v>182379</v>
      </c>
      <c r="D1173" t="s">
        <v>1843</v>
      </c>
      <c r="E1173" t="s">
        <v>1846</v>
      </c>
      <c r="F1173">
        <v>3</v>
      </c>
      <c r="G1173" t="s">
        <v>1860</v>
      </c>
    </row>
    <row r="1174" spans="1:7" x14ac:dyDescent="0.25">
      <c r="A1174" s="69" t="s">
        <v>51</v>
      </c>
      <c r="B1174" s="71">
        <v>44012</v>
      </c>
      <c r="C1174">
        <v>185963</v>
      </c>
      <c r="D1174" t="s">
        <v>1843</v>
      </c>
      <c r="E1174" t="s">
        <v>1847</v>
      </c>
      <c r="F1174">
        <v>6</v>
      </c>
      <c r="G1174" t="s">
        <v>1861</v>
      </c>
    </row>
    <row r="1175" spans="1:7" x14ac:dyDescent="0.25">
      <c r="A1175" s="69" t="s">
        <v>51</v>
      </c>
      <c r="B1175" s="71">
        <v>44104</v>
      </c>
      <c r="C1175">
        <v>145448</v>
      </c>
      <c r="D1175" t="s">
        <v>1843</v>
      </c>
      <c r="E1175" t="s">
        <v>1848</v>
      </c>
      <c r="F1175">
        <v>9</v>
      </c>
      <c r="G1175" t="s">
        <v>1862</v>
      </c>
    </row>
    <row r="1176" spans="1:7" x14ac:dyDescent="0.25">
      <c r="A1176" s="69" t="s">
        <v>51</v>
      </c>
      <c r="B1176" s="71">
        <v>44196</v>
      </c>
      <c r="C1176">
        <v>145082</v>
      </c>
      <c r="D1176" t="s">
        <v>1843</v>
      </c>
      <c r="E1176" t="s">
        <v>1849</v>
      </c>
      <c r="F1176">
        <v>12</v>
      </c>
      <c r="G1176" t="s">
        <v>1863</v>
      </c>
    </row>
    <row r="1177" spans="1:7" x14ac:dyDescent="0.25">
      <c r="A1177" s="69" t="s">
        <v>51</v>
      </c>
      <c r="B1177" s="71">
        <v>44286</v>
      </c>
      <c r="C1177">
        <v>149516</v>
      </c>
      <c r="D1177" t="s">
        <v>1844</v>
      </c>
      <c r="E1177" t="s">
        <v>1846</v>
      </c>
      <c r="F1177">
        <v>3</v>
      </c>
      <c r="G1177" t="s">
        <v>1860</v>
      </c>
    </row>
    <row r="1178" spans="1:7" x14ac:dyDescent="0.25">
      <c r="A1178" s="69" t="s">
        <v>51</v>
      </c>
      <c r="B1178" s="71">
        <v>44377</v>
      </c>
      <c r="C1178">
        <v>151618</v>
      </c>
      <c r="D1178" t="s">
        <v>1844</v>
      </c>
      <c r="E1178" t="s">
        <v>1847</v>
      </c>
      <c r="F1178">
        <v>6</v>
      </c>
      <c r="G1178" t="s">
        <v>1861</v>
      </c>
    </row>
    <row r="1179" spans="1:7" x14ac:dyDescent="0.25">
      <c r="A1179" s="69" t="s">
        <v>51</v>
      </c>
      <c r="B1179" s="71">
        <v>44469</v>
      </c>
      <c r="C1179">
        <v>160077</v>
      </c>
      <c r="D1179" t="s">
        <v>1844</v>
      </c>
      <c r="E1179" t="s">
        <v>1848</v>
      </c>
      <c r="F1179">
        <v>9</v>
      </c>
      <c r="G1179" t="s">
        <v>1862</v>
      </c>
    </row>
    <row r="1180" spans="1:7" x14ac:dyDescent="0.25">
      <c r="A1180" s="69" t="s">
        <v>51</v>
      </c>
      <c r="B1180" s="71">
        <v>44561</v>
      </c>
      <c r="C1180">
        <v>152618</v>
      </c>
      <c r="D1180" t="s">
        <v>1844</v>
      </c>
      <c r="E1180" t="s">
        <v>1849</v>
      </c>
      <c r="F1180">
        <v>12</v>
      </c>
      <c r="G1180" t="s">
        <v>1863</v>
      </c>
    </row>
    <row r="1181" spans="1:7" x14ac:dyDescent="0.25">
      <c r="A1181" s="69" t="s">
        <v>51</v>
      </c>
      <c r="B1181" s="71">
        <v>44651</v>
      </c>
      <c r="C1181">
        <v>129747</v>
      </c>
      <c r="D1181" t="s">
        <v>1845</v>
      </c>
      <c r="E1181" t="s">
        <v>1846</v>
      </c>
      <c r="F1181">
        <v>3</v>
      </c>
      <c r="G1181" t="s">
        <v>1860</v>
      </c>
    </row>
    <row r="1182" spans="1:7" x14ac:dyDescent="0.25">
      <c r="A1182" s="69" t="s">
        <v>51</v>
      </c>
      <c r="B1182" s="71">
        <v>44742</v>
      </c>
      <c r="C1182">
        <v>132029</v>
      </c>
      <c r="D1182" t="s">
        <v>1845</v>
      </c>
      <c r="E1182" t="s">
        <v>1847</v>
      </c>
      <c r="F1182">
        <v>6</v>
      </c>
      <c r="G1182" t="s">
        <v>1861</v>
      </c>
    </row>
    <row r="1183" spans="1:7" x14ac:dyDescent="0.25">
      <c r="A1183" s="69" t="s">
        <v>51</v>
      </c>
      <c r="B1183" s="71">
        <v>44834</v>
      </c>
      <c r="C1183">
        <v>131219</v>
      </c>
      <c r="D1183" t="s">
        <v>1845</v>
      </c>
      <c r="E1183" t="s">
        <v>1848</v>
      </c>
      <c r="F1183">
        <v>9</v>
      </c>
      <c r="G1183" t="s">
        <v>1862</v>
      </c>
    </row>
    <row r="1184" spans="1:7" x14ac:dyDescent="0.25">
      <c r="A1184" s="69" t="s">
        <v>51</v>
      </c>
      <c r="B1184" s="71">
        <v>44926</v>
      </c>
      <c r="C1184">
        <v>122186</v>
      </c>
      <c r="D1184" t="s">
        <v>1845</v>
      </c>
      <c r="E1184" t="s">
        <v>1849</v>
      </c>
      <c r="F1184">
        <v>12</v>
      </c>
      <c r="G1184" t="s">
        <v>1863</v>
      </c>
    </row>
    <row r="1185" spans="1:7" x14ac:dyDescent="0.25">
      <c r="A1185" s="69" t="s">
        <v>62</v>
      </c>
      <c r="B1185" s="71">
        <v>42460</v>
      </c>
      <c r="C1185">
        <v>61450</v>
      </c>
      <c r="D1185" t="s">
        <v>1839</v>
      </c>
      <c r="E1185" t="s">
        <v>1846</v>
      </c>
      <c r="F1185">
        <v>3</v>
      </c>
      <c r="G1185" t="s">
        <v>1860</v>
      </c>
    </row>
    <row r="1186" spans="1:7" x14ac:dyDescent="0.25">
      <c r="A1186" s="69" t="s">
        <v>62</v>
      </c>
      <c r="B1186" s="71">
        <v>42551</v>
      </c>
      <c r="C1186">
        <v>61450</v>
      </c>
      <c r="D1186" t="s">
        <v>1839</v>
      </c>
      <c r="E1186" t="s">
        <v>1847</v>
      </c>
      <c r="F1186">
        <v>6</v>
      </c>
      <c r="G1186" t="s">
        <v>1861</v>
      </c>
    </row>
    <row r="1187" spans="1:7" x14ac:dyDescent="0.25">
      <c r="A1187" s="69" t="s">
        <v>62</v>
      </c>
      <c r="B1187" s="71">
        <v>42643</v>
      </c>
      <c r="C1187">
        <v>61450</v>
      </c>
      <c r="D1187" t="s">
        <v>1839</v>
      </c>
      <c r="E1187" t="s">
        <v>1848</v>
      </c>
      <c r="F1187">
        <v>9</v>
      </c>
      <c r="G1187" t="s">
        <v>1862</v>
      </c>
    </row>
    <row r="1188" spans="1:7" x14ac:dyDescent="0.25">
      <c r="A1188" s="69" t="s">
        <v>62</v>
      </c>
      <c r="B1188" s="71">
        <v>42735</v>
      </c>
      <c r="C1188">
        <v>61450</v>
      </c>
      <c r="D1188" t="s">
        <v>1839</v>
      </c>
      <c r="E1188" t="s">
        <v>1849</v>
      </c>
      <c r="F1188">
        <v>12</v>
      </c>
      <c r="G1188" t="s">
        <v>1863</v>
      </c>
    </row>
    <row r="1189" spans="1:7" x14ac:dyDescent="0.25">
      <c r="A1189" s="69" t="s">
        <v>62</v>
      </c>
      <c r="B1189" s="71">
        <v>42825</v>
      </c>
      <c r="C1189">
        <v>61450</v>
      </c>
      <c r="D1189" t="s">
        <v>1840</v>
      </c>
      <c r="E1189" t="s">
        <v>1846</v>
      </c>
      <c r="F1189">
        <v>3</v>
      </c>
      <c r="G1189" t="s">
        <v>1860</v>
      </c>
    </row>
    <row r="1190" spans="1:7" x14ac:dyDescent="0.25">
      <c r="A1190" s="69" t="s">
        <v>62</v>
      </c>
      <c r="B1190" s="71">
        <v>42916</v>
      </c>
      <c r="C1190">
        <v>61450</v>
      </c>
      <c r="D1190" t="s">
        <v>1840</v>
      </c>
      <c r="E1190" t="s">
        <v>1847</v>
      </c>
      <c r="F1190">
        <v>6</v>
      </c>
      <c r="G1190" t="s">
        <v>1861</v>
      </c>
    </row>
    <row r="1191" spans="1:7" x14ac:dyDescent="0.25">
      <c r="A1191" s="69" t="s">
        <v>62</v>
      </c>
      <c r="B1191" s="71">
        <v>43008</v>
      </c>
      <c r="C1191">
        <v>61450</v>
      </c>
      <c r="D1191" t="s">
        <v>1840</v>
      </c>
      <c r="E1191" t="s">
        <v>1848</v>
      </c>
      <c r="F1191">
        <v>9</v>
      </c>
      <c r="G1191" t="s">
        <v>1862</v>
      </c>
    </row>
    <row r="1192" spans="1:7" x14ac:dyDescent="0.25">
      <c r="A1192" s="69" t="s">
        <v>62</v>
      </c>
      <c r="B1192" s="71">
        <v>43100</v>
      </c>
      <c r="C1192">
        <v>61450</v>
      </c>
      <c r="D1192" t="s">
        <v>1840</v>
      </c>
      <c r="E1192" t="s">
        <v>1849</v>
      </c>
      <c r="F1192">
        <v>12</v>
      </c>
      <c r="G1192" t="s">
        <v>1863</v>
      </c>
    </row>
    <row r="1193" spans="1:7" x14ac:dyDescent="0.25">
      <c r="A1193" s="69" t="s">
        <v>62</v>
      </c>
      <c r="B1193" s="71">
        <v>43190</v>
      </c>
      <c r="C1193">
        <v>61450</v>
      </c>
      <c r="D1193" t="s">
        <v>1841</v>
      </c>
      <c r="E1193" t="s">
        <v>1846</v>
      </c>
      <c r="F1193">
        <v>3</v>
      </c>
      <c r="G1193" t="s">
        <v>1860</v>
      </c>
    </row>
    <row r="1194" spans="1:7" x14ac:dyDescent="0.25">
      <c r="A1194" s="69" t="s">
        <v>62</v>
      </c>
      <c r="B1194" s="71">
        <v>43281</v>
      </c>
      <c r="C1194">
        <v>61450</v>
      </c>
      <c r="D1194" t="s">
        <v>1841</v>
      </c>
      <c r="E1194" t="s">
        <v>1847</v>
      </c>
      <c r="F1194">
        <v>6</v>
      </c>
      <c r="G1194" t="s">
        <v>1861</v>
      </c>
    </row>
    <row r="1195" spans="1:7" x14ac:dyDescent="0.25">
      <c r="A1195" s="69" t="s">
        <v>62</v>
      </c>
      <c r="B1195" s="71">
        <v>43373</v>
      </c>
      <c r="C1195">
        <v>61450</v>
      </c>
      <c r="D1195" t="s">
        <v>1841</v>
      </c>
      <c r="E1195" t="s">
        <v>1848</v>
      </c>
      <c r="F1195">
        <v>9</v>
      </c>
      <c r="G1195" t="s">
        <v>1862</v>
      </c>
    </row>
    <row r="1196" spans="1:7" x14ac:dyDescent="0.25">
      <c r="A1196" s="69" t="s">
        <v>62</v>
      </c>
      <c r="B1196" s="71">
        <v>43465</v>
      </c>
      <c r="C1196">
        <v>61450</v>
      </c>
      <c r="D1196" t="s">
        <v>1841</v>
      </c>
      <c r="E1196" t="s">
        <v>1849</v>
      </c>
      <c r="F1196">
        <v>12</v>
      </c>
      <c r="G1196" t="s">
        <v>1863</v>
      </c>
    </row>
    <row r="1197" spans="1:7" x14ac:dyDescent="0.25">
      <c r="A1197" s="69" t="s">
        <v>62</v>
      </c>
      <c r="B1197" s="71">
        <v>43555</v>
      </c>
      <c r="C1197">
        <v>61450</v>
      </c>
      <c r="D1197" t="s">
        <v>1842</v>
      </c>
      <c r="E1197" t="s">
        <v>1846</v>
      </c>
      <c r="F1197">
        <v>3</v>
      </c>
      <c r="G1197" t="s">
        <v>1860</v>
      </c>
    </row>
    <row r="1198" spans="1:7" x14ac:dyDescent="0.25">
      <c r="A1198" s="69" t="s">
        <v>62</v>
      </c>
      <c r="B1198" s="71">
        <v>43646</v>
      </c>
      <c r="C1198">
        <v>61450</v>
      </c>
      <c r="D1198" t="s">
        <v>1842</v>
      </c>
      <c r="E1198" t="s">
        <v>1847</v>
      </c>
      <c r="F1198">
        <v>6</v>
      </c>
      <c r="G1198" t="s">
        <v>1861</v>
      </c>
    </row>
    <row r="1199" spans="1:7" x14ac:dyDescent="0.25">
      <c r="A1199" s="69" t="s">
        <v>62</v>
      </c>
      <c r="B1199" s="71">
        <v>43738</v>
      </c>
      <c r="C1199">
        <v>61450</v>
      </c>
      <c r="D1199" t="s">
        <v>1842</v>
      </c>
      <c r="E1199" t="s">
        <v>1848</v>
      </c>
      <c r="F1199">
        <v>9</v>
      </c>
      <c r="G1199" t="s">
        <v>1862</v>
      </c>
    </row>
    <row r="1200" spans="1:7" x14ac:dyDescent="0.25">
      <c r="A1200" s="69" t="s">
        <v>62</v>
      </c>
      <c r="B1200" s="71">
        <v>43830</v>
      </c>
      <c r="C1200">
        <v>61450</v>
      </c>
      <c r="D1200" t="s">
        <v>1842</v>
      </c>
      <c r="E1200" t="s">
        <v>1849</v>
      </c>
      <c r="F1200">
        <v>12</v>
      </c>
      <c r="G1200" t="s">
        <v>1863</v>
      </c>
    </row>
    <row r="1201" spans="1:7" x14ac:dyDescent="0.25">
      <c r="A1201" s="69" t="s">
        <v>62</v>
      </c>
      <c r="B1201" s="71">
        <v>43921</v>
      </c>
      <c r="C1201">
        <v>61450</v>
      </c>
      <c r="D1201" t="s">
        <v>1843</v>
      </c>
      <c r="E1201" t="s">
        <v>1846</v>
      </c>
      <c r="F1201">
        <v>3</v>
      </c>
      <c r="G1201" t="s">
        <v>1860</v>
      </c>
    </row>
    <row r="1202" spans="1:7" x14ac:dyDescent="0.25">
      <c r="A1202" s="69" t="s">
        <v>62</v>
      </c>
      <c r="B1202" s="71">
        <v>44012</v>
      </c>
      <c r="C1202">
        <v>61450</v>
      </c>
      <c r="D1202" t="s">
        <v>1843</v>
      </c>
      <c r="E1202" t="s">
        <v>1847</v>
      </c>
      <c r="F1202">
        <v>6</v>
      </c>
      <c r="G1202" t="s">
        <v>1861</v>
      </c>
    </row>
    <row r="1203" spans="1:7" x14ac:dyDescent="0.25">
      <c r="A1203" s="69" t="s">
        <v>62</v>
      </c>
      <c r="B1203" s="71">
        <v>44104</v>
      </c>
      <c r="C1203">
        <v>70661</v>
      </c>
      <c r="D1203" t="s">
        <v>1843</v>
      </c>
      <c r="E1203" t="s">
        <v>1848</v>
      </c>
      <c r="F1203">
        <v>9</v>
      </c>
      <c r="G1203" t="s">
        <v>1862</v>
      </c>
    </row>
    <row r="1204" spans="1:7" x14ac:dyDescent="0.25">
      <c r="A1204" s="69" t="s">
        <v>62</v>
      </c>
      <c r="B1204" s="71">
        <v>44196</v>
      </c>
      <c r="C1204">
        <v>70661</v>
      </c>
      <c r="D1204" t="s">
        <v>1843</v>
      </c>
      <c r="E1204" t="s">
        <v>1849</v>
      </c>
      <c r="F1204">
        <v>12</v>
      </c>
      <c r="G1204" t="s">
        <v>1863</v>
      </c>
    </row>
    <row r="1205" spans="1:7" x14ac:dyDescent="0.25">
      <c r="A1205" s="69" t="s">
        <v>62</v>
      </c>
      <c r="B1205" s="71">
        <v>44286</v>
      </c>
      <c r="C1205">
        <v>70662</v>
      </c>
      <c r="D1205" t="s">
        <v>1844</v>
      </c>
      <c r="E1205" t="s">
        <v>1846</v>
      </c>
      <c r="F1205">
        <v>3</v>
      </c>
      <c r="G1205" t="s">
        <v>1860</v>
      </c>
    </row>
    <row r="1206" spans="1:7" x14ac:dyDescent="0.25">
      <c r="A1206" s="69" t="s">
        <v>62</v>
      </c>
      <c r="B1206" s="71">
        <v>44377</v>
      </c>
      <c r="C1206">
        <v>70662</v>
      </c>
      <c r="D1206" t="s">
        <v>1844</v>
      </c>
      <c r="E1206" t="s">
        <v>1847</v>
      </c>
      <c r="F1206">
        <v>6</v>
      </c>
      <c r="G1206" t="s">
        <v>1861</v>
      </c>
    </row>
    <row r="1207" spans="1:7" x14ac:dyDescent="0.25">
      <c r="A1207" s="69" t="s">
        <v>62</v>
      </c>
      <c r="B1207" s="71">
        <v>44469</v>
      </c>
      <c r="C1207">
        <v>70662</v>
      </c>
      <c r="D1207" t="s">
        <v>1844</v>
      </c>
      <c r="E1207" t="s">
        <v>1848</v>
      </c>
      <c r="F1207">
        <v>9</v>
      </c>
      <c r="G1207" t="s">
        <v>1862</v>
      </c>
    </row>
    <row r="1208" spans="1:7" x14ac:dyDescent="0.25">
      <c r="A1208" s="69" t="s">
        <v>62</v>
      </c>
      <c r="B1208" s="71">
        <v>44561</v>
      </c>
      <c r="C1208">
        <v>80534</v>
      </c>
      <c r="D1208" t="s">
        <v>1844</v>
      </c>
      <c r="E1208" t="s">
        <v>1849</v>
      </c>
      <c r="F1208">
        <v>12</v>
      </c>
      <c r="G1208" t="s">
        <v>1863</v>
      </c>
    </row>
    <row r="1209" spans="1:7" x14ac:dyDescent="0.25">
      <c r="A1209" s="69" t="s">
        <v>62</v>
      </c>
      <c r="B1209" s="71">
        <v>44651</v>
      </c>
      <c r="C1209">
        <v>80534</v>
      </c>
      <c r="D1209" t="s">
        <v>1845</v>
      </c>
      <c r="E1209" t="s">
        <v>1846</v>
      </c>
      <c r="F1209">
        <v>3</v>
      </c>
      <c r="G1209" t="s">
        <v>1860</v>
      </c>
    </row>
    <row r="1210" spans="1:7" x14ac:dyDescent="0.25">
      <c r="A1210" s="69" t="s">
        <v>62</v>
      </c>
      <c r="B1210" s="71">
        <v>44742</v>
      </c>
      <c r="C1210">
        <v>80534</v>
      </c>
      <c r="D1210" t="s">
        <v>1845</v>
      </c>
      <c r="E1210" t="s">
        <v>1847</v>
      </c>
      <c r="F1210">
        <v>6</v>
      </c>
      <c r="G1210" t="s">
        <v>1861</v>
      </c>
    </row>
    <row r="1211" spans="1:7" x14ac:dyDescent="0.25">
      <c r="A1211" s="69" t="s">
        <v>62</v>
      </c>
      <c r="B1211" s="71">
        <v>44834</v>
      </c>
      <c r="C1211">
        <v>80534</v>
      </c>
      <c r="D1211" t="s">
        <v>1845</v>
      </c>
      <c r="E1211" t="s">
        <v>1848</v>
      </c>
      <c r="F1211">
        <v>9</v>
      </c>
      <c r="G1211" t="s">
        <v>1862</v>
      </c>
    </row>
    <row r="1212" spans="1:7" x14ac:dyDescent="0.25">
      <c r="A1212" s="69" t="s">
        <v>62</v>
      </c>
      <c r="B1212" s="71">
        <v>44926</v>
      </c>
      <c r="C1212">
        <v>80534</v>
      </c>
      <c r="D1212" t="s">
        <v>1845</v>
      </c>
      <c r="E1212" t="s">
        <v>1849</v>
      </c>
      <c r="F1212">
        <v>12</v>
      </c>
      <c r="G1212" t="s">
        <v>1863</v>
      </c>
    </row>
    <row r="1213" spans="1:7" x14ac:dyDescent="0.25">
      <c r="A1213" s="69" t="s">
        <v>66</v>
      </c>
      <c r="B1213" s="71">
        <v>42460</v>
      </c>
      <c r="C1213">
        <v>1665</v>
      </c>
      <c r="D1213" t="s">
        <v>1839</v>
      </c>
      <c r="E1213" t="s">
        <v>1846</v>
      </c>
      <c r="F1213">
        <v>3</v>
      </c>
      <c r="G1213" t="s">
        <v>1860</v>
      </c>
    </row>
    <row r="1214" spans="1:7" x14ac:dyDescent="0.25">
      <c r="A1214" s="69" t="s">
        <v>66</v>
      </c>
      <c r="B1214" s="71">
        <v>42551</v>
      </c>
      <c r="C1214">
        <v>1737</v>
      </c>
      <c r="D1214" t="s">
        <v>1839</v>
      </c>
      <c r="E1214" t="s">
        <v>1847</v>
      </c>
      <c r="F1214">
        <v>6</v>
      </c>
      <c r="G1214" t="s">
        <v>1861</v>
      </c>
    </row>
    <row r="1215" spans="1:7" x14ac:dyDescent="0.25">
      <c r="A1215" s="69" t="s">
        <v>66</v>
      </c>
      <c r="B1215" s="71">
        <v>42643</v>
      </c>
      <c r="C1215">
        <v>1737</v>
      </c>
      <c r="D1215" t="s">
        <v>1839</v>
      </c>
      <c r="E1215" t="s">
        <v>1848</v>
      </c>
      <c r="F1215">
        <v>9</v>
      </c>
      <c r="G1215" t="s">
        <v>1862</v>
      </c>
    </row>
    <row r="1216" spans="1:7" x14ac:dyDescent="0.25">
      <c r="A1216" s="69" t="s">
        <v>66</v>
      </c>
      <c r="B1216" s="71">
        <v>42735</v>
      </c>
      <c r="C1216">
        <v>1737</v>
      </c>
      <c r="D1216" t="s">
        <v>1839</v>
      </c>
      <c r="E1216" t="s">
        <v>1849</v>
      </c>
      <c r="F1216">
        <v>12</v>
      </c>
      <c r="G1216" t="s">
        <v>1863</v>
      </c>
    </row>
    <row r="1217" spans="1:7" x14ac:dyDescent="0.25">
      <c r="A1217" s="69" t="s">
        <v>66</v>
      </c>
      <c r="B1217" s="71">
        <v>42825</v>
      </c>
      <c r="C1217">
        <v>1737</v>
      </c>
      <c r="D1217" t="s">
        <v>1840</v>
      </c>
      <c r="E1217" t="s">
        <v>1846</v>
      </c>
      <c r="F1217">
        <v>3</v>
      </c>
      <c r="G1217" t="s">
        <v>1860</v>
      </c>
    </row>
    <row r="1218" spans="1:7" x14ac:dyDescent="0.25">
      <c r="A1218" s="69" t="s">
        <v>66</v>
      </c>
      <c r="B1218" s="71">
        <v>42916</v>
      </c>
      <c r="C1218">
        <v>1737</v>
      </c>
      <c r="D1218" t="s">
        <v>1840</v>
      </c>
      <c r="E1218" t="s">
        <v>1847</v>
      </c>
      <c r="F1218">
        <v>6</v>
      </c>
      <c r="G1218" t="s">
        <v>1861</v>
      </c>
    </row>
    <row r="1219" spans="1:7" x14ac:dyDescent="0.25">
      <c r="A1219" s="69" t="s">
        <v>66</v>
      </c>
      <c r="B1219" s="71">
        <v>43008</v>
      </c>
      <c r="C1219">
        <v>2414</v>
      </c>
      <c r="D1219" t="s">
        <v>1840</v>
      </c>
      <c r="E1219" t="s">
        <v>1848</v>
      </c>
      <c r="F1219">
        <v>9</v>
      </c>
      <c r="G1219" t="s">
        <v>1862</v>
      </c>
    </row>
    <row r="1220" spans="1:7" x14ac:dyDescent="0.25">
      <c r="A1220" s="69" t="s">
        <v>66</v>
      </c>
      <c r="B1220" s="71">
        <v>43100</v>
      </c>
      <c r="C1220">
        <v>2414</v>
      </c>
      <c r="D1220" t="s">
        <v>1840</v>
      </c>
      <c r="E1220" t="s">
        <v>1849</v>
      </c>
      <c r="F1220">
        <v>12</v>
      </c>
      <c r="G1220" t="s">
        <v>1863</v>
      </c>
    </row>
    <row r="1221" spans="1:7" x14ac:dyDescent="0.25">
      <c r="A1221" s="69" t="s">
        <v>66</v>
      </c>
      <c r="B1221" s="71">
        <v>43190</v>
      </c>
      <c r="C1221">
        <v>2955</v>
      </c>
      <c r="D1221" t="s">
        <v>1841</v>
      </c>
      <c r="E1221" t="s">
        <v>1846</v>
      </c>
      <c r="F1221">
        <v>3</v>
      </c>
      <c r="G1221" t="s">
        <v>1860</v>
      </c>
    </row>
    <row r="1222" spans="1:7" x14ac:dyDescent="0.25">
      <c r="A1222" s="69" t="s">
        <v>66</v>
      </c>
      <c r="B1222" s="71">
        <v>43281</v>
      </c>
      <c r="C1222">
        <v>2955</v>
      </c>
      <c r="D1222" t="s">
        <v>1841</v>
      </c>
      <c r="E1222" t="s">
        <v>1847</v>
      </c>
      <c r="F1222">
        <v>6</v>
      </c>
      <c r="G1222" t="s">
        <v>1861</v>
      </c>
    </row>
    <row r="1223" spans="1:7" x14ac:dyDescent="0.25">
      <c r="A1223" s="69" t="s">
        <v>66</v>
      </c>
      <c r="B1223" s="71">
        <v>43373</v>
      </c>
      <c r="C1223">
        <v>2955</v>
      </c>
      <c r="D1223" t="s">
        <v>1841</v>
      </c>
      <c r="E1223" t="s">
        <v>1848</v>
      </c>
      <c r="F1223">
        <v>9</v>
      </c>
      <c r="G1223" t="s">
        <v>1862</v>
      </c>
    </row>
    <row r="1224" spans="1:7" x14ac:dyDescent="0.25">
      <c r="A1224" s="69" t="s">
        <v>66</v>
      </c>
      <c r="B1224" s="71">
        <v>43465</v>
      </c>
      <c r="C1224">
        <v>2955</v>
      </c>
      <c r="D1224" t="s">
        <v>1841</v>
      </c>
      <c r="E1224" t="s">
        <v>1849</v>
      </c>
      <c r="F1224">
        <v>12</v>
      </c>
      <c r="G1224" t="s">
        <v>1863</v>
      </c>
    </row>
    <row r="1225" spans="1:7" x14ac:dyDescent="0.25">
      <c r="A1225" s="69" t="s">
        <v>66</v>
      </c>
      <c r="B1225" s="71">
        <v>43555</v>
      </c>
      <c r="C1225">
        <v>3035</v>
      </c>
      <c r="D1225" t="s">
        <v>1842</v>
      </c>
      <c r="E1225" t="s">
        <v>1846</v>
      </c>
      <c r="F1225">
        <v>3</v>
      </c>
      <c r="G1225" t="s">
        <v>1860</v>
      </c>
    </row>
    <row r="1226" spans="1:7" x14ac:dyDescent="0.25">
      <c r="A1226" s="69" t="s">
        <v>66</v>
      </c>
      <c r="B1226" s="71">
        <v>43646</v>
      </c>
      <c r="C1226">
        <v>3035</v>
      </c>
      <c r="D1226" t="s">
        <v>1842</v>
      </c>
      <c r="E1226" t="s">
        <v>1847</v>
      </c>
      <c r="F1226">
        <v>6</v>
      </c>
      <c r="G1226" t="s">
        <v>1861</v>
      </c>
    </row>
    <row r="1227" spans="1:7" x14ac:dyDescent="0.25">
      <c r="A1227" s="69" t="s">
        <v>66</v>
      </c>
      <c r="B1227" s="71">
        <v>43738</v>
      </c>
      <c r="C1227">
        <v>3035</v>
      </c>
      <c r="D1227" t="s">
        <v>1842</v>
      </c>
      <c r="E1227" t="s">
        <v>1848</v>
      </c>
      <c r="F1227">
        <v>9</v>
      </c>
      <c r="G1227" t="s">
        <v>1862</v>
      </c>
    </row>
    <row r="1228" spans="1:7" x14ac:dyDescent="0.25">
      <c r="A1228" s="69" t="s">
        <v>66</v>
      </c>
      <c r="B1228" s="71">
        <v>43830</v>
      </c>
      <c r="C1228">
        <v>3035</v>
      </c>
      <c r="D1228" t="s">
        <v>1842</v>
      </c>
      <c r="E1228" t="s">
        <v>1849</v>
      </c>
      <c r="F1228">
        <v>12</v>
      </c>
      <c r="G1228" t="s">
        <v>1863</v>
      </c>
    </row>
    <row r="1229" spans="1:7" x14ac:dyDescent="0.25">
      <c r="A1229" s="69" t="s">
        <v>66</v>
      </c>
      <c r="B1229" s="71">
        <v>43921</v>
      </c>
      <c r="C1229">
        <v>3036</v>
      </c>
      <c r="D1229" t="s">
        <v>1843</v>
      </c>
      <c r="E1229" t="s">
        <v>1846</v>
      </c>
      <c r="F1229">
        <v>3</v>
      </c>
      <c r="G1229" t="s">
        <v>1860</v>
      </c>
    </row>
    <row r="1230" spans="1:7" x14ac:dyDescent="0.25">
      <c r="A1230" s="69" t="s">
        <v>66</v>
      </c>
      <c r="B1230" s="71">
        <v>44012</v>
      </c>
      <c r="C1230">
        <v>3036</v>
      </c>
      <c r="D1230" t="s">
        <v>1843</v>
      </c>
      <c r="E1230" t="s">
        <v>1847</v>
      </c>
      <c r="F1230">
        <v>6</v>
      </c>
      <c r="G1230" t="s">
        <v>1861</v>
      </c>
    </row>
    <row r="1231" spans="1:7" x14ac:dyDescent="0.25">
      <c r="A1231" s="69" t="s">
        <v>66</v>
      </c>
      <c r="B1231" s="71">
        <v>44104</v>
      </c>
      <c r="C1231">
        <v>3036</v>
      </c>
      <c r="D1231" t="s">
        <v>1843</v>
      </c>
      <c r="E1231" t="s">
        <v>1848</v>
      </c>
      <c r="F1231">
        <v>9</v>
      </c>
      <c r="G1231" t="s">
        <v>1862</v>
      </c>
    </row>
    <row r="1232" spans="1:7" x14ac:dyDescent="0.25">
      <c r="A1232" s="69" t="s">
        <v>66</v>
      </c>
      <c r="B1232" s="71">
        <v>44196</v>
      </c>
      <c r="C1232">
        <v>3036</v>
      </c>
      <c r="D1232" t="s">
        <v>1843</v>
      </c>
      <c r="E1232" t="s">
        <v>1849</v>
      </c>
      <c r="F1232">
        <v>12</v>
      </c>
      <c r="G1232" t="s">
        <v>1863</v>
      </c>
    </row>
    <row r="1233" spans="1:7" x14ac:dyDescent="0.25">
      <c r="A1233" s="69" t="s">
        <v>66</v>
      </c>
      <c r="B1233" s="71">
        <v>44286</v>
      </c>
      <c r="C1233">
        <v>3036</v>
      </c>
      <c r="D1233" t="s">
        <v>1844</v>
      </c>
      <c r="E1233" t="s">
        <v>1846</v>
      </c>
      <c r="F1233">
        <v>3</v>
      </c>
      <c r="G1233" t="s">
        <v>1860</v>
      </c>
    </row>
    <row r="1234" spans="1:7" x14ac:dyDescent="0.25">
      <c r="A1234" s="69" t="s">
        <v>66</v>
      </c>
      <c r="B1234" s="71">
        <v>44377</v>
      </c>
      <c r="C1234">
        <v>3036</v>
      </c>
      <c r="D1234" t="s">
        <v>1844</v>
      </c>
      <c r="E1234" t="s">
        <v>1847</v>
      </c>
      <c r="F1234">
        <v>6</v>
      </c>
      <c r="G1234" t="s">
        <v>1861</v>
      </c>
    </row>
    <row r="1235" spans="1:7" x14ac:dyDescent="0.25">
      <c r="A1235" s="69" t="s">
        <v>66</v>
      </c>
      <c r="B1235" s="71">
        <v>44469</v>
      </c>
      <c r="C1235">
        <v>3036</v>
      </c>
      <c r="D1235" t="s">
        <v>1844</v>
      </c>
      <c r="E1235" t="s">
        <v>1848</v>
      </c>
      <c r="F1235">
        <v>9</v>
      </c>
      <c r="G1235" t="s">
        <v>1862</v>
      </c>
    </row>
    <row r="1236" spans="1:7" x14ac:dyDescent="0.25">
      <c r="A1236" s="69" t="s">
        <v>66</v>
      </c>
      <c r="B1236" s="71">
        <v>44561</v>
      </c>
      <c r="C1236">
        <v>3036</v>
      </c>
      <c r="D1236" t="s">
        <v>1844</v>
      </c>
      <c r="E1236" t="s">
        <v>1849</v>
      </c>
      <c r="F1236">
        <v>12</v>
      </c>
      <c r="G1236" t="s">
        <v>1863</v>
      </c>
    </row>
    <row r="1237" spans="1:7" x14ac:dyDescent="0.25">
      <c r="A1237" s="69" t="s">
        <v>66</v>
      </c>
      <c r="B1237" s="71">
        <v>44651</v>
      </c>
      <c r="C1237">
        <v>3036</v>
      </c>
      <c r="D1237" t="s">
        <v>1845</v>
      </c>
      <c r="E1237" t="s">
        <v>1846</v>
      </c>
      <c r="F1237">
        <v>3</v>
      </c>
      <c r="G1237" t="s">
        <v>1860</v>
      </c>
    </row>
    <row r="1238" spans="1:7" x14ac:dyDescent="0.25">
      <c r="A1238" s="69" t="s">
        <v>66</v>
      </c>
      <c r="B1238" s="71">
        <v>44742</v>
      </c>
      <c r="C1238">
        <v>3036</v>
      </c>
      <c r="D1238" t="s">
        <v>1845</v>
      </c>
      <c r="E1238" t="s">
        <v>1847</v>
      </c>
      <c r="F1238">
        <v>6</v>
      </c>
      <c r="G1238" t="s">
        <v>1861</v>
      </c>
    </row>
    <row r="1239" spans="1:7" x14ac:dyDescent="0.25">
      <c r="A1239" s="69" t="s">
        <v>66</v>
      </c>
      <c r="B1239" s="71">
        <v>44834</v>
      </c>
      <c r="C1239">
        <v>3036</v>
      </c>
      <c r="D1239" t="s">
        <v>1845</v>
      </c>
      <c r="E1239" t="s">
        <v>1848</v>
      </c>
      <c r="F1239">
        <v>9</v>
      </c>
      <c r="G1239" t="s">
        <v>1862</v>
      </c>
    </row>
    <row r="1240" spans="1:7" x14ac:dyDescent="0.25">
      <c r="A1240" s="69" t="s">
        <v>66</v>
      </c>
      <c r="B1240" s="71">
        <v>44926</v>
      </c>
      <c r="C1240">
        <v>3036</v>
      </c>
      <c r="D1240" t="s">
        <v>1845</v>
      </c>
      <c r="E1240" t="s">
        <v>1849</v>
      </c>
      <c r="F1240">
        <v>12</v>
      </c>
      <c r="G1240" t="s">
        <v>1863</v>
      </c>
    </row>
    <row r="1241" spans="1:7" x14ac:dyDescent="0.25">
      <c r="A1241" s="69" t="s">
        <v>67</v>
      </c>
      <c r="B1241" s="71">
        <v>42460</v>
      </c>
      <c r="C1241">
        <v>32545</v>
      </c>
      <c r="D1241" t="s">
        <v>1839</v>
      </c>
      <c r="E1241" t="s">
        <v>1846</v>
      </c>
      <c r="F1241">
        <v>3</v>
      </c>
      <c r="G1241" t="s">
        <v>1860</v>
      </c>
    </row>
    <row r="1242" spans="1:7" x14ac:dyDescent="0.25">
      <c r="A1242" s="69" t="s">
        <v>67</v>
      </c>
      <c r="B1242" s="71">
        <v>42551</v>
      </c>
      <c r="C1242">
        <v>32928</v>
      </c>
      <c r="D1242" t="s">
        <v>1839</v>
      </c>
      <c r="E1242" t="s">
        <v>1847</v>
      </c>
      <c r="F1242">
        <v>6</v>
      </c>
      <c r="G1242" t="s">
        <v>1861</v>
      </c>
    </row>
    <row r="1243" spans="1:7" x14ac:dyDescent="0.25">
      <c r="A1243" s="69" t="s">
        <v>67</v>
      </c>
      <c r="B1243" s="71">
        <v>42643</v>
      </c>
      <c r="C1243">
        <v>35847</v>
      </c>
      <c r="D1243" t="s">
        <v>1839</v>
      </c>
      <c r="E1243" t="s">
        <v>1848</v>
      </c>
      <c r="F1243">
        <v>9</v>
      </c>
      <c r="G1243" t="s">
        <v>1862</v>
      </c>
    </row>
    <row r="1244" spans="1:7" x14ac:dyDescent="0.25">
      <c r="A1244" s="69" t="s">
        <v>67</v>
      </c>
      <c r="B1244" s="71">
        <v>42735</v>
      </c>
      <c r="C1244">
        <v>38621</v>
      </c>
      <c r="D1244" t="s">
        <v>1839</v>
      </c>
      <c r="E1244" t="s">
        <v>1849</v>
      </c>
      <c r="F1244">
        <v>12</v>
      </c>
      <c r="G1244" t="s">
        <v>1863</v>
      </c>
    </row>
    <row r="1245" spans="1:7" x14ac:dyDescent="0.25">
      <c r="A1245" s="69" t="s">
        <v>67</v>
      </c>
      <c r="B1245" s="71">
        <v>42825</v>
      </c>
      <c r="C1245">
        <v>33212</v>
      </c>
      <c r="D1245" t="s">
        <v>1840</v>
      </c>
      <c r="E1245" t="s">
        <v>1846</v>
      </c>
      <c r="F1245">
        <v>3</v>
      </c>
      <c r="G1245" t="s">
        <v>1860</v>
      </c>
    </row>
    <row r="1246" spans="1:7" x14ac:dyDescent="0.25">
      <c r="A1246" s="69" t="s">
        <v>67</v>
      </c>
      <c r="B1246" s="71">
        <v>42916</v>
      </c>
      <c r="C1246">
        <v>36585</v>
      </c>
      <c r="D1246" t="s">
        <v>1840</v>
      </c>
      <c r="E1246" t="s">
        <v>1847</v>
      </c>
      <c r="F1246">
        <v>6</v>
      </c>
      <c r="G1246" t="s">
        <v>1861</v>
      </c>
    </row>
    <row r="1247" spans="1:7" x14ac:dyDescent="0.25">
      <c r="A1247" s="69" t="s">
        <v>67</v>
      </c>
      <c r="B1247" s="71">
        <v>43008</v>
      </c>
      <c r="C1247">
        <v>40748</v>
      </c>
      <c r="D1247" t="s">
        <v>1840</v>
      </c>
      <c r="E1247" t="s">
        <v>1848</v>
      </c>
      <c r="F1247">
        <v>9</v>
      </c>
      <c r="G1247" t="s">
        <v>1862</v>
      </c>
    </row>
    <row r="1248" spans="1:7" x14ac:dyDescent="0.25">
      <c r="A1248" s="69" t="s">
        <v>67</v>
      </c>
      <c r="B1248" s="71">
        <v>43100</v>
      </c>
      <c r="C1248">
        <v>42196</v>
      </c>
      <c r="D1248" t="s">
        <v>1840</v>
      </c>
      <c r="E1248" t="s">
        <v>1849</v>
      </c>
      <c r="F1248">
        <v>12</v>
      </c>
      <c r="G1248" t="s">
        <v>1863</v>
      </c>
    </row>
    <row r="1249" spans="1:7" x14ac:dyDescent="0.25">
      <c r="A1249" s="69" t="s">
        <v>67</v>
      </c>
      <c r="B1249" s="71">
        <v>43190</v>
      </c>
      <c r="C1249">
        <v>28032</v>
      </c>
      <c r="D1249" t="s">
        <v>1841</v>
      </c>
      <c r="E1249" t="s">
        <v>1846</v>
      </c>
      <c r="F1249">
        <v>3</v>
      </c>
      <c r="G1249" t="s">
        <v>1860</v>
      </c>
    </row>
    <row r="1250" spans="1:7" x14ac:dyDescent="0.25">
      <c r="A1250" s="69" t="s">
        <v>67</v>
      </c>
      <c r="B1250" s="71">
        <v>43281</v>
      </c>
      <c r="C1250">
        <v>26419</v>
      </c>
      <c r="D1250" t="s">
        <v>1841</v>
      </c>
      <c r="E1250" t="s">
        <v>1847</v>
      </c>
      <c r="F1250">
        <v>6</v>
      </c>
      <c r="G1250" t="s">
        <v>1861</v>
      </c>
    </row>
    <row r="1251" spans="1:7" x14ac:dyDescent="0.25">
      <c r="A1251" s="69" t="s">
        <v>67</v>
      </c>
      <c r="B1251" s="71">
        <v>43373</v>
      </c>
      <c r="C1251">
        <v>28531</v>
      </c>
      <c r="D1251" t="s">
        <v>1841</v>
      </c>
      <c r="E1251" t="s">
        <v>1848</v>
      </c>
      <c r="F1251">
        <v>9</v>
      </c>
      <c r="G1251" t="s">
        <v>1862</v>
      </c>
    </row>
    <row r="1252" spans="1:7" x14ac:dyDescent="0.25">
      <c r="A1252" s="69" t="s">
        <v>67</v>
      </c>
      <c r="B1252" s="71">
        <v>43465</v>
      </c>
      <c r="C1252">
        <v>22965</v>
      </c>
      <c r="D1252" t="s">
        <v>1841</v>
      </c>
      <c r="E1252" t="s">
        <v>1849</v>
      </c>
      <c r="F1252">
        <v>12</v>
      </c>
      <c r="G1252" t="s">
        <v>1863</v>
      </c>
    </row>
    <row r="1253" spans="1:7" x14ac:dyDescent="0.25">
      <c r="A1253" s="69" t="s">
        <v>67</v>
      </c>
      <c r="B1253" s="71">
        <v>43555</v>
      </c>
      <c r="C1253">
        <v>22531</v>
      </c>
      <c r="D1253" t="s">
        <v>1842</v>
      </c>
      <c r="E1253" t="s">
        <v>1846</v>
      </c>
      <c r="F1253">
        <v>3</v>
      </c>
      <c r="G1253" t="s">
        <v>1860</v>
      </c>
    </row>
    <row r="1254" spans="1:7" x14ac:dyDescent="0.25">
      <c r="A1254" s="69" t="s">
        <v>67</v>
      </c>
      <c r="B1254" s="71">
        <v>43646</v>
      </c>
      <c r="C1254">
        <v>24214</v>
      </c>
      <c r="D1254" t="s">
        <v>1842</v>
      </c>
      <c r="E1254" t="s">
        <v>1847</v>
      </c>
      <c r="F1254">
        <v>6</v>
      </c>
      <c r="G1254" t="s">
        <v>1861</v>
      </c>
    </row>
    <row r="1255" spans="1:7" x14ac:dyDescent="0.25">
      <c r="A1255" s="69" t="s">
        <v>67</v>
      </c>
      <c r="B1255" s="71">
        <v>43738</v>
      </c>
      <c r="C1255">
        <v>16461</v>
      </c>
      <c r="D1255" t="s">
        <v>1842</v>
      </c>
      <c r="E1255" t="s">
        <v>1848</v>
      </c>
      <c r="F1255">
        <v>9</v>
      </c>
      <c r="G1255" t="s">
        <v>1862</v>
      </c>
    </row>
    <row r="1256" spans="1:7" x14ac:dyDescent="0.25">
      <c r="A1256" s="69" t="s">
        <v>67</v>
      </c>
      <c r="B1256" s="71">
        <v>43830</v>
      </c>
      <c r="C1256">
        <v>14641</v>
      </c>
      <c r="D1256" t="s">
        <v>1842</v>
      </c>
      <c r="E1256" t="s">
        <v>1849</v>
      </c>
      <c r="F1256">
        <v>12</v>
      </c>
      <c r="G1256" t="s">
        <v>1863</v>
      </c>
    </row>
    <row r="1257" spans="1:7" x14ac:dyDescent="0.25">
      <c r="A1257" s="69" t="s">
        <v>67</v>
      </c>
      <c r="B1257" s="71">
        <v>43921</v>
      </c>
      <c r="C1257">
        <v>-11413</v>
      </c>
      <c r="D1257" t="s">
        <v>1843</v>
      </c>
      <c r="E1257" t="s">
        <v>1846</v>
      </c>
      <c r="F1257">
        <v>3</v>
      </c>
      <c r="G1257" t="s">
        <v>1860</v>
      </c>
    </row>
    <row r="1258" spans="1:7" x14ac:dyDescent="0.25">
      <c r="A1258" s="69" t="s">
        <v>67</v>
      </c>
      <c r="B1258" s="71">
        <v>44012</v>
      </c>
      <c r="C1258">
        <v>-30964</v>
      </c>
      <c r="D1258" t="s">
        <v>1843</v>
      </c>
      <c r="E1258" t="s">
        <v>1847</v>
      </c>
      <c r="F1258">
        <v>6</v>
      </c>
      <c r="G1258" t="s">
        <v>1861</v>
      </c>
    </row>
    <row r="1259" spans="1:7" x14ac:dyDescent="0.25">
      <c r="A1259" s="69" t="s">
        <v>67</v>
      </c>
      <c r="B1259" s="71">
        <v>44104</v>
      </c>
      <c r="C1259">
        <v>-43979</v>
      </c>
      <c r="D1259" t="s">
        <v>1843</v>
      </c>
      <c r="E1259" t="s">
        <v>1848</v>
      </c>
      <c r="F1259">
        <v>9</v>
      </c>
      <c r="G1259" t="s">
        <v>1862</v>
      </c>
    </row>
    <row r="1260" spans="1:7" x14ac:dyDescent="0.25">
      <c r="A1260" s="69" t="s">
        <v>67</v>
      </c>
      <c r="B1260" s="71">
        <v>44196</v>
      </c>
      <c r="C1260">
        <v>-61420</v>
      </c>
      <c r="D1260" t="s">
        <v>1843</v>
      </c>
      <c r="E1260" t="s">
        <v>1849</v>
      </c>
      <c r="F1260">
        <v>12</v>
      </c>
      <c r="G1260" t="s">
        <v>1863</v>
      </c>
    </row>
    <row r="1261" spans="1:7" x14ac:dyDescent="0.25">
      <c r="A1261" s="69" t="s">
        <v>67</v>
      </c>
      <c r="B1261" s="71">
        <v>44286</v>
      </c>
      <c r="C1261">
        <v>-75202</v>
      </c>
      <c r="D1261" t="s">
        <v>1844</v>
      </c>
      <c r="E1261" t="s">
        <v>1846</v>
      </c>
      <c r="F1261">
        <v>3</v>
      </c>
      <c r="G1261" t="s">
        <v>1860</v>
      </c>
    </row>
    <row r="1262" spans="1:7" x14ac:dyDescent="0.25">
      <c r="A1262" s="69" t="s">
        <v>67</v>
      </c>
      <c r="B1262" s="71">
        <v>44377</v>
      </c>
      <c r="C1262">
        <v>-91726</v>
      </c>
      <c r="D1262" t="s">
        <v>1844</v>
      </c>
      <c r="E1262" t="s">
        <v>1847</v>
      </c>
      <c r="F1262">
        <v>6</v>
      </c>
      <c r="G1262" t="s">
        <v>1861</v>
      </c>
    </row>
    <row r="1263" spans="1:7" x14ac:dyDescent="0.25">
      <c r="A1263" s="69" t="s">
        <v>67</v>
      </c>
      <c r="B1263" s="71">
        <v>44469</v>
      </c>
      <c r="C1263">
        <v>-115761</v>
      </c>
      <c r="D1263" t="s">
        <v>1844</v>
      </c>
      <c r="E1263" t="s">
        <v>1848</v>
      </c>
      <c r="F1263">
        <v>9</v>
      </c>
      <c r="G1263" t="s">
        <v>1862</v>
      </c>
    </row>
    <row r="1264" spans="1:7" x14ac:dyDescent="0.25">
      <c r="A1264" s="69" t="s">
        <v>67</v>
      </c>
      <c r="B1264" s="71">
        <v>44561</v>
      </c>
      <c r="C1264">
        <v>-112403</v>
      </c>
      <c r="D1264" t="s">
        <v>1844</v>
      </c>
      <c r="E1264" t="s">
        <v>1849</v>
      </c>
      <c r="F1264">
        <v>12</v>
      </c>
      <c r="G1264" t="s">
        <v>1863</v>
      </c>
    </row>
    <row r="1265" spans="1:7" x14ac:dyDescent="0.25">
      <c r="A1265" s="69" t="s">
        <v>67</v>
      </c>
      <c r="B1265" s="71">
        <v>44651</v>
      </c>
      <c r="C1265">
        <v>-71768</v>
      </c>
      <c r="D1265" t="s">
        <v>1845</v>
      </c>
      <c r="E1265" t="s">
        <v>1846</v>
      </c>
      <c r="F1265">
        <v>3</v>
      </c>
      <c r="G1265" t="s">
        <v>1860</v>
      </c>
    </row>
    <row r="1266" spans="1:7" x14ac:dyDescent="0.25">
      <c r="A1266" s="69" t="s">
        <v>67</v>
      </c>
      <c r="B1266" s="71">
        <v>44742</v>
      </c>
      <c r="C1266">
        <v>-88365</v>
      </c>
      <c r="D1266" t="s">
        <v>1845</v>
      </c>
      <c r="E1266" t="s">
        <v>1847</v>
      </c>
      <c r="F1266">
        <v>6</v>
      </c>
      <c r="G1266" t="s">
        <v>1861</v>
      </c>
    </row>
    <row r="1267" spans="1:7" x14ac:dyDescent="0.25">
      <c r="A1267" s="69" t="s">
        <v>67</v>
      </c>
      <c r="B1267" s="71">
        <v>44834</v>
      </c>
      <c r="C1267">
        <v>-94281</v>
      </c>
      <c r="D1267" t="s">
        <v>1845</v>
      </c>
      <c r="E1267" t="s">
        <v>1848</v>
      </c>
      <c r="F1267">
        <v>9</v>
      </c>
      <c r="G1267" t="s">
        <v>1862</v>
      </c>
    </row>
    <row r="1268" spans="1:7" x14ac:dyDescent="0.25">
      <c r="A1268" s="69" t="s">
        <v>67</v>
      </c>
      <c r="B1268" s="71">
        <v>44926</v>
      </c>
      <c r="C1268">
        <v>-89419</v>
      </c>
      <c r="D1268" t="s">
        <v>1845</v>
      </c>
      <c r="E1268" t="s">
        <v>1849</v>
      </c>
      <c r="F1268">
        <v>12</v>
      </c>
      <c r="G1268" t="s">
        <v>1863</v>
      </c>
    </row>
    <row r="1269" spans="1:7" x14ac:dyDescent="0.25">
      <c r="A1269" s="69" t="s">
        <v>68</v>
      </c>
      <c r="B1269" s="71">
        <v>42460</v>
      </c>
      <c r="C1269">
        <v>-3770</v>
      </c>
      <c r="D1269" t="s">
        <v>1839</v>
      </c>
      <c r="E1269" t="s">
        <v>1846</v>
      </c>
      <c r="F1269">
        <v>3</v>
      </c>
      <c r="G1269" t="s">
        <v>1860</v>
      </c>
    </row>
    <row r="1270" spans="1:7" x14ac:dyDescent="0.25">
      <c r="A1270" s="69" t="s">
        <v>68</v>
      </c>
      <c r="B1270" s="71">
        <v>42551</v>
      </c>
      <c r="C1270">
        <v>-3217</v>
      </c>
      <c r="D1270" t="s">
        <v>1839</v>
      </c>
      <c r="E1270" t="s">
        <v>1847</v>
      </c>
      <c r="F1270">
        <v>6</v>
      </c>
      <c r="G1270" t="s">
        <v>1861</v>
      </c>
    </row>
    <row r="1271" spans="1:7" x14ac:dyDescent="0.25">
      <c r="A1271" s="69" t="s">
        <v>68</v>
      </c>
      <c r="B1271" s="71">
        <v>42643</v>
      </c>
      <c r="C1271">
        <v>-3211</v>
      </c>
      <c r="D1271" t="s">
        <v>1839</v>
      </c>
      <c r="E1271" t="s">
        <v>1848</v>
      </c>
      <c r="F1271">
        <v>9</v>
      </c>
      <c r="G1271" t="s">
        <v>1862</v>
      </c>
    </row>
    <row r="1272" spans="1:7" x14ac:dyDescent="0.25">
      <c r="A1272" s="69" t="s">
        <v>68</v>
      </c>
      <c r="B1272" s="71">
        <v>42735</v>
      </c>
      <c r="C1272">
        <v>-2698</v>
      </c>
      <c r="D1272" t="s">
        <v>1839</v>
      </c>
      <c r="E1272" t="s">
        <v>1849</v>
      </c>
      <c r="F1272">
        <v>12</v>
      </c>
      <c r="G1272" t="s">
        <v>1863</v>
      </c>
    </row>
    <row r="1273" spans="1:7" x14ac:dyDescent="0.25">
      <c r="A1273" s="69" t="s">
        <v>68</v>
      </c>
      <c r="B1273" s="71">
        <v>42825</v>
      </c>
      <c r="C1273">
        <v>-2105</v>
      </c>
      <c r="D1273" t="s">
        <v>1840</v>
      </c>
      <c r="E1273" t="s">
        <v>1846</v>
      </c>
      <c r="F1273">
        <v>3</v>
      </c>
      <c r="G1273" t="s">
        <v>1860</v>
      </c>
    </row>
    <row r="1274" spans="1:7" x14ac:dyDescent="0.25">
      <c r="A1274" s="69" t="s">
        <v>68</v>
      </c>
      <c r="B1274" s="71">
        <v>42916</v>
      </c>
      <c r="C1274">
        <v>-1897</v>
      </c>
      <c r="D1274" t="s">
        <v>1840</v>
      </c>
      <c r="E1274" t="s">
        <v>1847</v>
      </c>
      <c r="F1274">
        <v>6</v>
      </c>
      <c r="G1274" t="s">
        <v>1861</v>
      </c>
    </row>
    <row r="1275" spans="1:7" x14ac:dyDescent="0.25">
      <c r="A1275" s="69" t="s">
        <v>68</v>
      </c>
      <c r="B1275" s="71">
        <v>43008</v>
      </c>
      <c r="C1275">
        <v>-1643</v>
      </c>
      <c r="D1275" t="s">
        <v>1840</v>
      </c>
      <c r="E1275" t="s">
        <v>1848</v>
      </c>
      <c r="F1275">
        <v>9</v>
      </c>
      <c r="G1275" t="s">
        <v>1862</v>
      </c>
    </row>
    <row r="1276" spans="1:7" x14ac:dyDescent="0.25">
      <c r="A1276" s="69" t="s">
        <v>68</v>
      </c>
      <c r="B1276" s="71">
        <v>43100</v>
      </c>
      <c r="C1276">
        <v>-1375</v>
      </c>
      <c r="D1276" t="s">
        <v>1840</v>
      </c>
      <c r="E1276" t="s">
        <v>1849</v>
      </c>
      <c r="F1276">
        <v>12</v>
      </c>
      <c r="G1276" t="s">
        <v>1863</v>
      </c>
    </row>
    <row r="1277" spans="1:7" x14ac:dyDescent="0.25">
      <c r="A1277" s="69" t="s">
        <v>68</v>
      </c>
      <c r="B1277" s="71">
        <v>43190</v>
      </c>
      <c r="C1277">
        <v>-1155</v>
      </c>
      <c r="D1277" t="s">
        <v>1841</v>
      </c>
      <c r="E1277" t="s">
        <v>1846</v>
      </c>
      <c r="F1277">
        <v>3</v>
      </c>
      <c r="G1277" t="s">
        <v>1860</v>
      </c>
    </row>
    <row r="1278" spans="1:7" x14ac:dyDescent="0.25">
      <c r="A1278" s="69" t="s">
        <v>68</v>
      </c>
      <c r="B1278" s="71">
        <v>43281</v>
      </c>
      <c r="C1278">
        <v>-1066</v>
      </c>
      <c r="D1278" t="s">
        <v>1841</v>
      </c>
      <c r="E1278" t="s">
        <v>1847</v>
      </c>
      <c r="F1278">
        <v>6</v>
      </c>
      <c r="G1278" t="s">
        <v>1861</v>
      </c>
    </row>
    <row r="1279" spans="1:7" x14ac:dyDescent="0.25">
      <c r="A1279" s="69" t="s">
        <v>68</v>
      </c>
      <c r="B1279" s="71">
        <v>43373</v>
      </c>
      <c r="C1279">
        <v>-953</v>
      </c>
      <c r="D1279" t="s">
        <v>1841</v>
      </c>
      <c r="E1279" t="s">
        <v>1848</v>
      </c>
      <c r="F1279">
        <v>9</v>
      </c>
      <c r="G1279" t="s">
        <v>1862</v>
      </c>
    </row>
    <row r="1280" spans="1:7" x14ac:dyDescent="0.25">
      <c r="A1280" s="69" t="s">
        <v>68</v>
      </c>
      <c r="B1280" s="71">
        <v>43465</v>
      </c>
      <c r="C1280">
        <v>-852</v>
      </c>
      <c r="D1280" t="s">
        <v>1841</v>
      </c>
      <c r="E1280" t="s">
        <v>1849</v>
      </c>
      <c r="F1280">
        <v>12</v>
      </c>
      <c r="G1280" t="s">
        <v>1863</v>
      </c>
    </row>
    <row r="1281" spans="1:7" x14ac:dyDescent="0.25">
      <c r="A1281" s="69" t="s">
        <v>68</v>
      </c>
      <c r="B1281" s="71">
        <v>43555</v>
      </c>
      <c r="C1281">
        <v>-630</v>
      </c>
      <c r="D1281" t="s">
        <v>1842</v>
      </c>
      <c r="E1281" t="s">
        <v>1846</v>
      </c>
      <c r="F1281">
        <v>3</v>
      </c>
      <c r="G1281" t="s">
        <v>1860</v>
      </c>
    </row>
    <row r="1282" spans="1:7" x14ac:dyDescent="0.25">
      <c r="A1282" s="69" t="s">
        <v>68</v>
      </c>
      <c r="B1282" s="71">
        <v>43646</v>
      </c>
      <c r="C1282">
        <v>-448</v>
      </c>
      <c r="D1282" t="s">
        <v>1842</v>
      </c>
      <c r="E1282" t="s">
        <v>1847</v>
      </c>
      <c r="F1282">
        <v>6</v>
      </c>
      <c r="G1282" t="s">
        <v>1861</v>
      </c>
    </row>
    <row r="1283" spans="1:7" x14ac:dyDescent="0.25">
      <c r="A1283" s="69" t="s">
        <v>68</v>
      </c>
      <c r="B1283" s="71">
        <v>43738</v>
      </c>
      <c r="C1283">
        <v>-334</v>
      </c>
      <c r="D1283" t="s">
        <v>1842</v>
      </c>
      <c r="E1283" t="s">
        <v>1848</v>
      </c>
      <c r="F1283">
        <v>9</v>
      </c>
      <c r="G1283" t="s">
        <v>1862</v>
      </c>
    </row>
    <row r="1284" spans="1:7" x14ac:dyDescent="0.25">
      <c r="A1284" s="69" t="s">
        <v>68</v>
      </c>
      <c r="B1284" s="71">
        <v>43830</v>
      </c>
      <c r="C1284">
        <v>-150</v>
      </c>
      <c r="D1284" t="s">
        <v>1842</v>
      </c>
      <c r="E1284" t="s">
        <v>1849</v>
      </c>
      <c r="F1284">
        <v>12</v>
      </c>
      <c r="G1284" t="s">
        <v>1863</v>
      </c>
    </row>
    <row r="1285" spans="1:7" x14ac:dyDescent="0.25">
      <c r="A1285" s="69" t="s">
        <v>68</v>
      </c>
      <c r="B1285" s="71">
        <v>44196</v>
      </c>
      <c r="C1285">
        <v>6241</v>
      </c>
      <c r="D1285" t="s">
        <v>1843</v>
      </c>
      <c r="E1285" t="s">
        <v>1849</v>
      </c>
      <c r="F1285">
        <v>12</v>
      </c>
      <c r="G1285" t="s">
        <v>1863</v>
      </c>
    </row>
    <row r="1286" spans="1:7" x14ac:dyDescent="0.25">
      <c r="A1286" s="69" t="s">
        <v>68</v>
      </c>
      <c r="B1286" s="71">
        <v>44286</v>
      </c>
      <c r="C1286">
        <v>6048</v>
      </c>
      <c r="D1286" t="s">
        <v>1844</v>
      </c>
      <c r="E1286" t="s">
        <v>1846</v>
      </c>
      <c r="F1286">
        <v>3</v>
      </c>
      <c r="G1286" t="s">
        <v>1860</v>
      </c>
    </row>
    <row r="1287" spans="1:7" x14ac:dyDescent="0.25">
      <c r="A1287" s="69" t="s">
        <v>68</v>
      </c>
      <c r="B1287" s="71">
        <v>44377</v>
      </c>
      <c r="C1287">
        <v>24236</v>
      </c>
      <c r="D1287" t="s">
        <v>1844</v>
      </c>
      <c r="E1287" t="s">
        <v>1847</v>
      </c>
      <c r="F1287">
        <v>6</v>
      </c>
      <c r="G1287" t="s">
        <v>1861</v>
      </c>
    </row>
    <row r="1288" spans="1:7" x14ac:dyDescent="0.25">
      <c r="A1288" s="69" t="s">
        <v>68</v>
      </c>
      <c r="B1288" s="71">
        <v>44469</v>
      </c>
      <c r="C1288">
        <v>49919</v>
      </c>
      <c r="D1288" t="s">
        <v>1844</v>
      </c>
      <c r="E1288" t="s">
        <v>1848</v>
      </c>
      <c r="F1288">
        <v>9</v>
      </c>
      <c r="G1288" t="s">
        <v>1862</v>
      </c>
    </row>
    <row r="1289" spans="1:7" x14ac:dyDescent="0.25">
      <c r="A1289" s="69" t="s">
        <v>68</v>
      </c>
      <c r="B1289" s="71">
        <v>44561</v>
      </c>
      <c r="C1289">
        <v>54320</v>
      </c>
      <c r="D1289" t="s">
        <v>1844</v>
      </c>
      <c r="E1289" t="s">
        <v>1849</v>
      </c>
      <c r="F1289">
        <v>12</v>
      </c>
      <c r="G1289" t="s">
        <v>1863</v>
      </c>
    </row>
    <row r="1290" spans="1:7" x14ac:dyDescent="0.25">
      <c r="A1290" s="69" t="s">
        <v>68</v>
      </c>
      <c r="B1290" s="71">
        <v>44651</v>
      </c>
      <c r="C1290">
        <v>43964</v>
      </c>
      <c r="D1290" t="s">
        <v>1845</v>
      </c>
      <c r="E1290" t="s">
        <v>1846</v>
      </c>
      <c r="F1290">
        <v>3</v>
      </c>
      <c r="G1290" t="s">
        <v>1860</v>
      </c>
    </row>
    <row r="1291" spans="1:7" x14ac:dyDescent="0.25">
      <c r="A1291" s="69" t="s">
        <v>68</v>
      </c>
      <c r="B1291" s="71">
        <v>44742</v>
      </c>
      <c r="C1291">
        <v>43964</v>
      </c>
      <c r="D1291" t="s">
        <v>1845</v>
      </c>
      <c r="E1291" t="s">
        <v>1847</v>
      </c>
      <c r="F1291">
        <v>6</v>
      </c>
      <c r="G1291" t="s">
        <v>1861</v>
      </c>
    </row>
    <row r="1292" spans="1:7" x14ac:dyDescent="0.25">
      <c r="A1292" s="69" t="s">
        <v>68</v>
      </c>
      <c r="B1292" s="71">
        <v>44834</v>
      </c>
      <c r="C1292">
        <v>43964</v>
      </c>
      <c r="D1292" t="s">
        <v>1845</v>
      </c>
      <c r="E1292" t="s">
        <v>1848</v>
      </c>
      <c r="F1292">
        <v>9</v>
      </c>
      <c r="G1292" t="s">
        <v>1862</v>
      </c>
    </row>
    <row r="1293" spans="1:7" x14ac:dyDescent="0.25">
      <c r="A1293" s="69" t="s">
        <v>68</v>
      </c>
      <c r="B1293" s="71">
        <v>44926</v>
      </c>
      <c r="C1293">
        <v>37200</v>
      </c>
      <c r="D1293" t="s">
        <v>1845</v>
      </c>
      <c r="E1293" t="s">
        <v>1849</v>
      </c>
      <c r="F1293">
        <v>12</v>
      </c>
      <c r="G1293" t="s">
        <v>1863</v>
      </c>
    </row>
    <row r="1294" spans="1:7" x14ac:dyDescent="0.25">
      <c r="A1294" s="69" t="s">
        <v>172</v>
      </c>
      <c r="B1294" s="71">
        <v>42460</v>
      </c>
      <c r="C1294">
        <v>26459</v>
      </c>
      <c r="D1294" t="s">
        <v>1839</v>
      </c>
      <c r="E1294" t="s">
        <v>1846</v>
      </c>
      <c r="F1294">
        <v>3</v>
      </c>
      <c r="G1294" t="s">
        <v>1860</v>
      </c>
    </row>
    <row r="1295" spans="1:7" x14ac:dyDescent="0.25">
      <c r="A1295" s="69" t="s">
        <v>172</v>
      </c>
      <c r="B1295" s="71">
        <v>42551</v>
      </c>
      <c r="C1295">
        <v>36686</v>
      </c>
      <c r="D1295" t="s">
        <v>1839</v>
      </c>
      <c r="E1295" t="s">
        <v>1847</v>
      </c>
      <c r="F1295">
        <v>6</v>
      </c>
      <c r="G1295" t="s">
        <v>1861</v>
      </c>
    </row>
    <row r="1296" spans="1:7" x14ac:dyDescent="0.25">
      <c r="A1296" s="69" t="s">
        <v>172</v>
      </c>
      <c r="B1296" s="71">
        <v>42643</v>
      </c>
      <c r="C1296">
        <v>39579</v>
      </c>
      <c r="D1296" t="s">
        <v>1839</v>
      </c>
      <c r="E1296" t="s">
        <v>1848</v>
      </c>
      <c r="F1296">
        <v>9</v>
      </c>
      <c r="G1296" t="s">
        <v>1862</v>
      </c>
    </row>
    <row r="1297" spans="1:7" x14ac:dyDescent="0.25">
      <c r="A1297" s="69" t="s">
        <v>172</v>
      </c>
      <c r="B1297" s="71">
        <v>42735</v>
      </c>
      <c r="C1297">
        <v>45116</v>
      </c>
      <c r="D1297" t="s">
        <v>1839</v>
      </c>
      <c r="E1297" t="s">
        <v>1849</v>
      </c>
      <c r="F1297">
        <v>12</v>
      </c>
      <c r="G1297" t="s">
        <v>1863</v>
      </c>
    </row>
    <row r="1298" spans="1:7" x14ac:dyDescent="0.25">
      <c r="A1298" s="69" t="s">
        <v>172</v>
      </c>
      <c r="B1298" s="71">
        <v>42825</v>
      </c>
      <c r="C1298">
        <v>31086</v>
      </c>
      <c r="D1298" t="s">
        <v>1840</v>
      </c>
      <c r="E1298" t="s">
        <v>1846</v>
      </c>
      <c r="F1298">
        <v>3</v>
      </c>
      <c r="G1298" t="s">
        <v>1860</v>
      </c>
    </row>
    <row r="1299" spans="1:7" x14ac:dyDescent="0.25">
      <c r="A1299" s="69" t="s">
        <v>172</v>
      </c>
      <c r="B1299" s="71">
        <v>42916</v>
      </c>
      <c r="C1299">
        <v>36098</v>
      </c>
      <c r="D1299" t="s">
        <v>1840</v>
      </c>
      <c r="E1299" t="s">
        <v>1847</v>
      </c>
      <c r="F1299">
        <v>6</v>
      </c>
      <c r="G1299" t="s">
        <v>1861</v>
      </c>
    </row>
    <row r="1300" spans="1:7" x14ac:dyDescent="0.25">
      <c r="A1300" s="69" t="s">
        <v>172</v>
      </c>
      <c r="B1300" s="71">
        <v>43008</v>
      </c>
      <c r="C1300">
        <v>43208</v>
      </c>
      <c r="D1300" t="s">
        <v>1840</v>
      </c>
      <c r="E1300" t="s">
        <v>1848</v>
      </c>
      <c r="F1300">
        <v>9</v>
      </c>
      <c r="G1300" t="s">
        <v>1862</v>
      </c>
    </row>
    <row r="1301" spans="1:7" x14ac:dyDescent="0.25">
      <c r="A1301" s="69" t="s">
        <v>172</v>
      </c>
      <c r="B1301" s="71">
        <v>43100</v>
      </c>
      <c r="C1301">
        <v>46941</v>
      </c>
      <c r="D1301" t="s">
        <v>1840</v>
      </c>
      <c r="E1301" t="s">
        <v>1849</v>
      </c>
      <c r="F1301">
        <v>12</v>
      </c>
      <c r="G1301" t="s">
        <v>1863</v>
      </c>
    </row>
    <row r="1302" spans="1:7" x14ac:dyDescent="0.25">
      <c r="A1302" s="69" t="s">
        <v>172</v>
      </c>
      <c r="B1302" s="71">
        <v>43190</v>
      </c>
      <c r="C1302">
        <v>40738</v>
      </c>
      <c r="D1302" t="s">
        <v>1841</v>
      </c>
      <c r="E1302" t="s">
        <v>1846</v>
      </c>
      <c r="F1302">
        <v>3</v>
      </c>
      <c r="G1302" t="s">
        <v>1860</v>
      </c>
    </row>
    <row r="1303" spans="1:7" x14ac:dyDescent="0.25">
      <c r="A1303" s="69" t="s">
        <v>172</v>
      </c>
      <c r="B1303" s="71">
        <v>43281</v>
      </c>
      <c r="C1303">
        <v>30415</v>
      </c>
      <c r="D1303" t="s">
        <v>1841</v>
      </c>
      <c r="E1303" t="s">
        <v>1847</v>
      </c>
      <c r="F1303">
        <v>6</v>
      </c>
      <c r="G1303" t="s">
        <v>1861</v>
      </c>
    </row>
    <row r="1304" spans="1:7" x14ac:dyDescent="0.25">
      <c r="A1304" s="69" t="s">
        <v>172</v>
      </c>
      <c r="B1304" s="71">
        <v>43373</v>
      </c>
      <c r="C1304">
        <v>51239</v>
      </c>
      <c r="D1304" t="s">
        <v>1841</v>
      </c>
      <c r="E1304" t="s">
        <v>1848</v>
      </c>
      <c r="F1304">
        <v>9</v>
      </c>
      <c r="G1304" t="s">
        <v>1862</v>
      </c>
    </row>
    <row r="1305" spans="1:7" x14ac:dyDescent="0.25">
      <c r="A1305" s="69" t="s">
        <v>172</v>
      </c>
      <c r="B1305" s="71">
        <v>43465</v>
      </c>
      <c r="C1305">
        <v>48473</v>
      </c>
      <c r="D1305" t="s">
        <v>1841</v>
      </c>
      <c r="E1305" t="s">
        <v>1849</v>
      </c>
      <c r="F1305">
        <v>12</v>
      </c>
      <c r="G1305" t="s">
        <v>1863</v>
      </c>
    </row>
    <row r="1306" spans="1:7" x14ac:dyDescent="0.25">
      <c r="A1306" s="69" t="s">
        <v>172</v>
      </c>
      <c r="B1306" s="71">
        <v>43555</v>
      </c>
      <c r="C1306">
        <v>41717</v>
      </c>
      <c r="D1306" t="s">
        <v>1842</v>
      </c>
      <c r="E1306" t="s">
        <v>1846</v>
      </c>
      <c r="F1306">
        <v>3</v>
      </c>
      <c r="G1306" t="s">
        <v>1860</v>
      </c>
    </row>
    <row r="1307" spans="1:7" x14ac:dyDescent="0.25">
      <c r="A1307" s="69" t="s">
        <v>172</v>
      </c>
      <c r="B1307" s="71">
        <v>43646</v>
      </c>
      <c r="C1307">
        <v>37024</v>
      </c>
      <c r="D1307" t="s">
        <v>1842</v>
      </c>
      <c r="E1307" t="s">
        <v>1847</v>
      </c>
      <c r="F1307">
        <v>6</v>
      </c>
      <c r="G1307" t="s">
        <v>1861</v>
      </c>
    </row>
    <row r="1308" spans="1:7" x14ac:dyDescent="0.25">
      <c r="A1308" s="69" t="s">
        <v>172</v>
      </c>
      <c r="B1308" s="71">
        <v>43738</v>
      </c>
      <c r="C1308">
        <v>53715</v>
      </c>
      <c r="D1308" t="s">
        <v>1842</v>
      </c>
      <c r="E1308" t="s">
        <v>1848</v>
      </c>
      <c r="F1308">
        <v>9</v>
      </c>
      <c r="G1308" t="s">
        <v>1862</v>
      </c>
    </row>
    <row r="1309" spans="1:7" x14ac:dyDescent="0.25">
      <c r="A1309" s="69" t="s">
        <v>172</v>
      </c>
      <c r="B1309" s="71">
        <v>43830</v>
      </c>
      <c r="C1309">
        <v>52018</v>
      </c>
      <c r="D1309" t="s">
        <v>1842</v>
      </c>
      <c r="E1309" t="s">
        <v>1849</v>
      </c>
      <c r="F1309">
        <v>12</v>
      </c>
      <c r="G1309" t="s">
        <v>1863</v>
      </c>
    </row>
    <row r="1310" spans="1:7" x14ac:dyDescent="0.25">
      <c r="A1310" s="69" t="s">
        <v>172</v>
      </c>
      <c r="B1310" s="71">
        <v>43921</v>
      </c>
      <c r="C1310">
        <v>39101</v>
      </c>
      <c r="D1310" t="s">
        <v>1843</v>
      </c>
      <c r="E1310" t="s">
        <v>1846</v>
      </c>
      <c r="F1310">
        <v>3</v>
      </c>
      <c r="G1310" t="s">
        <v>1860</v>
      </c>
    </row>
    <row r="1311" spans="1:7" x14ac:dyDescent="0.25">
      <c r="A1311" s="69" t="s">
        <v>172</v>
      </c>
      <c r="B1311" s="71">
        <v>44012</v>
      </c>
      <c r="C1311">
        <v>5861</v>
      </c>
      <c r="D1311" t="s">
        <v>1843</v>
      </c>
      <c r="E1311" t="s">
        <v>1847</v>
      </c>
      <c r="F1311">
        <v>6</v>
      </c>
      <c r="G1311" t="s">
        <v>1861</v>
      </c>
    </row>
    <row r="1312" spans="1:7" x14ac:dyDescent="0.25">
      <c r="A1312" s="69" t="s">
        <v>172</v>
      </c>
      <c r="B1312" s="71">
        <v>44104</v>
      </c>
      <c r="C1312">
        <v>19734</v>
      </c>
      <c r="D1312" t="s">
        <v>1843</v>
      </c>
      <c r="E1312" t="s">
        <v>1848</v>
      </c>
      <c r="F1312">
        <v>9</v>
      </c>
      <c r="G1312" t="s">
        <v>1862</v>
      </c>
    </row>
    <row r="1313" spans="1:7" x14ac:dyDescent="0.25">
      <c r="A1313" s="69" t="s">
        <v>172</v>
      </c>
      <c r="B1313" s="71">
        <v>44196</v>
      </c>
      <c r="C1313">
        <v>25969</v>
      </c>
      <c r="D1313" t="s">
        <v>1843</v>
      </c>
      <c r="E1313" t="s">
        <v>1849</v>
      </c>
      <c r="F1313">
        <v>12</v>
      </c>
      <c r="G1313" t="s">
        <v>1863</v>
      </c>
    </row>
    <row r="1314" spans="1:7" x14ac:dyDescent="0.25">
      <c r="A1314" s="69" t="s">
        <v>172</v>
      </c>
      <c r="B1314" s="71">
        <v>44286</v>
      </c>
      <c r="C1314">
        <v>19774</v>
      </c>
      <c r="D1314" t="s">
        <v>1844</v>
      </c>
      <c r="E1314" t="s">
        <v>1846</v>
      </c>
      <c r="F1314">
        <v>3</v>
      </c>
      <c r="G1314" t="s">
        <v>1860</v>
      </c>
    </row>
    <row r="1315" spans="1:7" x14ac:dyDescent="0.25">
      <c r="A1315" s="69" t="s">
        <v>172</v>
      </c>
      <c r="B1315" s="71">
        <v>44377</v>
      </c>
      <c r="C1315">
        <v>18752</v>
      </c>
      <c r="D1315" t="s">
        <v>1844</v>
      </c>
      <c r="E1315" t="s">
        <v>1847</v>
      </c>
      <c r="F1315">
        <v>6</v>
      </c>
      <c r="G1315" t="s">
        <v>1861</v>
      </c>
    </row>
    <row r="1316" spans="1:7" x14ac:dyDescent="0.25">
      <c r="A1316" s="69" t="s">
        <v>172</v>
      </c>
      <c r="B1316" s="71">
        <v>44469</v>
      </c>
      <c r="C1316">
        <v>23706</v>
      </c>
      <c r="D1316" t="s">
        <v>1844</v>
      </c>
      <c r="E1316" t="s">
        <v>1848</v>
      </c>
      <c r="F1316">
        <v>9</v>
      </c>
      <c r="G1316" t="s">
        <v>1862</v>
      </c>
    </row>
    <row r="1317" spans="1:7" x14ac:dyDescent="0.25">
      <c r="A1317" s="69" t="s">
        <v>172</v>
      </c>
      <c r="B1317" s="71">
        <v>44561</v>
      </c>
      <c r="C1317">
        <v>29677</v>
      </c>
      <c r="D1317" t="s">
        <v>1844</v>
      </c>
      <c r="E1317" t="s">
        <v>1849</v>
      </c>
      <c r="F1317">
        <v>12</v>
      </c>
      <c r="G1317" t="s">
        <v>1863</v>
      </c>
    </row>
    <row r="1318" spans="1:7" x14ac:dyDescent="0.25">
      <c r="A1318" s="69" t="s">
        <v>172</v>
      </c>
      <c r="B1318" s="71">
        <v>44651</v>
      </c>
      <c r="C1318">
        <v>24797</v>
      </c>
      <c r="D1318" t="s">
        <v>1845</v>
      </c>
      <c r="E1318" t="s">
        <v>1846</v>
      </c>
      <c r="F1318">
        <v>3</v>
      </c>
      <c r="G1318" t="s">
        <v>1860</v>
      </c>
    </row>
    <row r="1319" spans="1:7" x14ac:dyDescent="0.25">
      <c r="A1319" s="69" t="s">
        <v>172</v>
      </c>
      <c r="B1319" s="71">
        <v>44742</v>
      </c>
      <c r="C1319">
        <v>28699</v>
      </c>
      <c r="D1319" t="s">
        <v>1845</v>
      </c>
      <c r="E1319" t="s">
        <v>1847</v>
      </c>
      <c r="F1319">
        <v>6</v>
      </c>
      <c r="G1319" t="s">
        <v>1861</v>
      </c>
    </row>
    <row r="1320" spans="1:7" x14ac:dyDescent="0.25">
      <c r="A1320" s="69" t="s">
        <v>172</v>
      </c>
      <c r="B1320" s="71">
        <v>44834</v>
      </c>
      <c r="C1320">
        <v>45452</v>
      </c>
      <c r="D1320" t="s">
        <v>1845</v>
      </c>
      <c r="E1320" t="s">
        <v>1848</v>
      </c>
      <c r="F1320">
        <v>9</v>
      </c>
      <c r="G1320" t="s">
        <v>1862</v>
      </c>
    </row>
    <row r="1321" spans="1:7" x14ac:dyDescent="0.25">
      <c r="A1321" s="69" t="s">
        <v>172</v>
      </c>
      <c r="B1321" s="71">
        <v>44926</v>
      </c>
      <c r="C1321">
        <v>54505</v>
      </c>
      <c r="D1321" t="s">
        <v>1845</v>
      </c>
      <c r="E1321" t="s">
        <v>1849</v>
      </c>
      <c r="F1321">
        <v>12</v>
      </c>
      <c r="G1321" t="s">
        <v>1863</v>
      </c>
    </row>
    <row r="1322" spans="1:7" x14ac:dyDescent="0.25">
      <c r="A1322" s="69" t="s">
        <v>176</v>
      </c>
      <c r="B1322" s="71">
        <v>42551</v>
      </c>
      <c r="C1322">
        <v>243</v>
      </c>
      <c r="D1322" t="s">
        <v>1839</v>
      </c>
      <c r="E1322" t="s">
        <v>1847</v>
      </c>
      <c r="F1322">
        <v>6</v>
      </c>
      <c r="G1322" t="s">
        <v>1861</v>
      </c>
    </row>
    <row r="1323" spans="1:7" x14ac:dyDescent="0.25">
      <c r="A1323" s="69" t="s">
        <v>176</v>
      </c>
      <c r="B1323" s="71">
        <v>42643</v>
      </c>
      <c r="C1323">
        <v>1258</v>
      </c>
      <c r="D1323" t="s">
        <v>1839</v>
      </c>
      <c r="E1323" t="s">
        <v>1848</v>
      </c>
      <c r="F1323">
        <v>9</v>
      </c>
      <c r="G1323" t="s">
        <v>1862</v>
      </c>
    </row>
    <row r="1324" spans="1:7" x14ac:dyDescent="0.25">
      <c r="A1324" s="69" t="s">
        <v>176</v>
      </c>
      <c r="B1324" s="71">
        <v>42735</v>
      </c>
      <c r="C1324">
        <v>-509</v>
      </c>
      <c r="D1324" t="s">
        <v>1839</v>
      </c>
      <c r="E1324" t="s">
        <v>1849</v>
      </c>
      <c r="F1324">
        <v>12</v>
      </c>
      <c r="G1324" t="s">
        <v>1863</v>
      </c>
    </row>
    <row r="1325" spans="1:7" x14ac:dyDescent="0.25">
      <c r="A1325" s="69" t="s">
        <v>176</v>
      </c>
      <c r="B1325" s="71">
        <v>43008</v>
      </c>
      <c r="C1325">
        <v>792</v>
      </c>
      <c r="D1325" t="s">
        <v>1840</v>
      </c>
      <c r="E1325" t="s">
        <v>1848</v>
      </c>
      <c r="F1325">
        <v>9</v>
      </c>
      <c r="G1325" t="s">
        <v>1862</v>
      </c>
    </row>
    <row r="1326" spans="1:7" x14ac:dyDescent="0.25">
      <c r="A1326" s="69" t="s">
        <v>176</v>
      </c>
      <c r="B1326" s="71">
        <v>43100</v>
      </c>
      <c r="C1326">
        <v>-792</v>
      </c>
      <c r="D1326" t="s">
        <v>1840</v>
      </c>
      <c r="E1326" t="s">
        <v>1849</v>
      </c>
      <c r="F1326">
        <v>12</v>
      </c>
      <c r="G1326" t="s">
        <v>1863</v>
      </c>
    </row>
    <row r="1327" spans="1:7" x14ac:dyDescent="0.25">
      <c r="A1327" s="69" t="s">
        <v>176</v>
      </c>
      <c r="B1327" s="71">
        <v>43373</v>
      </c>
      <c r="C1327">
        <v>614</v>
      </c>
      <c r="D1327" t="s">
        <v>1841</v>
      </c>
      <c r="E1327" t="s">
        <v>1848</v>
      </c>
      <c r="F1327">
        <v>9</v>
      </c>
      <c r="G1327" t="s">
        <v>1862</v>
      </c>
    </row>
    <row r="1328" spans="1:7" x14ac:dyDescent="0.25">
      <c r="A1328" s="69" t="s">
        <v>176</v>
      </c>
      <c r="B1328" s="71">
        <v>43465</v>
      </c>
      <c r="C1328">
        <v>1077</v>
      </c>
      <c r="D1328" t="s">
        <v>1841</v>
      </c>
      <c r="E1328" t="s">
        <v>1849</v>
      </c>
      <c r="F1328">
        <v>12</v>
      </c>
      <c r="G1328" t="s">
        <v>1863</v>
      </c>
    </row>
    <row r="1329" spans="1:7" x14ac:dyDescent="0.25">
      <c r="A1329" s="69" t="s">
        <v>178</v>
      </c>
      <c r="B1329" s="71">
        <v>42460</v>
      </c>
      <c r="C1329">
        <v>-16197</v>
      </c>
      <c r="D1329" t="s">
        <v>1839</v>
      </c>
      <c r="E1329" t="s">
        <v>1846</v>
      </c>
      <c r="F1329">
        <v>3</v>
      </c>
      <c r="G1329" t="s">
        <v>1860</v>
      </c>
    </row>
    <row r="1330" spans="1:7" x14ac:dyDescent="0.25">
      <c r="A1330" s="69" t="s">
        <v>178</v>
      </c>
      <c r="B1330" s="71">
        <v>42551</v>
      </c>
      <c r="C1330">
        <v>-9135</v>
      </c>
      <c r="D1330" t="s">
        <v>1839</v>
      </c>
      <c r="E1330" t="s">
        <v>1847</v>
      </c>
      <c r="F1330">
        <v>6</v>
      </c>
      <c r="G1330" t="s">
        <v>1861</v>
      </c>
    </row>
    <row r="1331" spans="1:7" x14ac:dyDescent="0.25">
      <c r="A1331" s="69" t="s">
        <v>178</v>
      </c>
      <c r="B1331" s="71">
        <v>42643</v>
      </c>
      <c r="C1331">
        <v>-16617</v>
      </c>
      <c r="D1331" t="s">
        <v>1839</v>
      </c>
      <c r="E1331" t="s">
        <v>1848</v>
      </c>
      <c r="F1331">
        <v>9</v>
      </c>
      <c r="G1331" t="s">
        <v>1862</v>
      </c>
    </row>
    <row r="1332" spans="1:7" x14ac:dyDescent="0.25">
      <c r="A1332" s="69" t="s">
        <v>178</v>
      </c>
      <c r="B1332" s="71">
        <v>42735</v>
      </c>
      <c r="C1332">
        <v>-16827</v>
      </c>
      <c r="D1332" t="s">
        <v>1839</v>
      </c>
      <c r="E1332" t="s">
        <v>1849</v>
      </c>
      <c r="F1332">
        <v>12</v>
      </c>
      <c r="G1332" t="s">
        <v>1863</v>
      </c>
    </row>
    <row r="1333" spans="1:7" x14ac:dyDescent="0.25">
      <c r="A1333" s="69" t="s">
        <v>178</v>
      </c>
      <c r="B1333" s="71">
        <v>42825</v>
      </c>
      <c r="C1333">
        <v>-19761</v>
      </c>
      <c r="D1333" t="s">
        <v>1840</v>
      </c>
      <c r="E1333" t="s">
        <v>1846</v>
      </c>
      <c r="F1333">
        <v>3</v>
      </c>
      <c r="G1333" t="s">
        <v>1860</v>
      </c>
    </row>
    <row r="1334" spans="1:7" x14ac:dyDescent="0.25">
      <c r="A1334" s="69" t="s">
        <v>178</v>
      </c>
      <c r="B1334" s="71">
        <v>42916</v>
      </c>
      <c r="C1334">
        <v>-15013</v>
      </c>
      <c r="D1334" t="s">
        <v>1840</v>
      </c>
      <c r="E1334" t="s">
        <v>1847</v>
      </c>
      <c r="F1334">
        <v>6</v>
      </c>
      <c r="G1334" t="s">
        <v>1861</v>
      </c>
    </row>
    <row r="1335" spans="1:7" x14ac:dyDescent="0.25">
      <c r="A1335" s="69" t="s">
        <v>178</v>
      </c>
      <c r="B1335" s="71">
        <v>43008</v>
      </c>
      <c r="C1335">
        <v>-16226</v>
      </c>
      <c r="D1335" t="s">
        <v>1840</v>
      </c>
      <c r="E1335" t="s">
        <v>1848</v>
      </c>
      <c r="F1335">
        <v>9</v>
      </c>
      <c r="G1335" t="s">
        <v>1862</v>
      </c>
    </row>
    <row r="1336" spans="1:7" x14ac:dyDescent="0.25">
      <c r="A1336" s="69" t="s">
        <v>178</v>
      </c>
      <c r="B1336" s="71">
        <v>43100</v>
      </c>
      <c r="C1336">
        <v>-17865</v>
      </c>
      <c r="D1336" t="s">
        <v>1840</v>
      </c>
      <c r="E1336" t="s">
        <v>1849</v>
      </c>
      <c r="F1336">
        <v>12</v>
      </c>
      <c r="G1336" t="s">
        <v>1863</v>
      </c>
    </row>
    <row r="1337" spans="1:7" x14ac:dyDescent="0.25">
      <c r="A1337" s="69" t="s">
        <v>178</v>
      </c>
      <c r="B1337" s="71">
        <v>43190</v>
      </c>
      <c r="C1337">
        <v>-21031</v>
      </c>
      <c r="D1337" t="s">
        <v>1841</v>
      </c>
      <c r="E1337" t="s">
        <v>1846</v>
      </c>
      <c r="F1337">
        <v>3</v>
      </c>
      <c r="G1337" t="s">
        <v>1860</v>
      </c>
    </row>
    <row r="1338" spans="1:7" x14ac:dyDescent="0.25">
      <c r="A1338" s="69" t="s">
        <v>178</v>
      </c>
      <c r="B1338" s="71">
        <v>43281</v>
      </c>
      <c r="C1338">
        <v>-14318</v>
      </c>
      <c r="D1338" t="s">
        <v>1841</v>
      </c>
      <c r="E1338" t="s">
        <v>1847</v>
      </c>
      <c r="F1338">
        <v>6</v>
      </c>
      <c r="G1338" t="s">
        <v>1861</v>
      </c>
    </row>
    <row r="1339" spans="1:7" x14ac:dyDescent="0.25">
      <c r="A1339" s="69" t="s">
        <v>178</v>
      </c>
      <c r="B1339" s="71">
        <v>43373</v>
      </c>
      <c r="C1339">
        <v>-23248</v>
      </c>
      <c r="D1339" t="s">
        <v>1841</v>
      </c>
      <c r="E1339" t="s">
        <v>1848</v>
      </c>
      <c r="F1339">
        <v>9</v>
      </c>
      <c r="G1339" t="s">
        <v>1862</v>
      </c>
    </row>
    <row r="1340" spans="1:7" x14ac:dyDescent="0.25">
      <c r="A1340" s="69" t="s">
        <v>178</v>
      </c>
      <c r="B1340" s="71">
        <v>43465</v>
      </c>
      <c r="C1340">
        <v>-24293</v>
      </c>
      <c r="D1340" t="s">
        <v>1841</v>
      </c>
      <c r="E1340" t="s">
        <v>1849</v>
      </c>
      <c r="F1340">
        <v>12</v>
      </c>
      <c r="G1340" t="s">
        <v>1863</v>
      </c>
    </row>
    <row r="1341" spans="1:7" x14ac:dyDescent="0.25">
      <c r="A1341" s="69" t="s">
        <v>178</v>
      </c>
      <c r="B1341" s="71">
        <v>43555</v>
      </c>
      <c r="C1341">
        <v>-25518</v>
      </c>
      <c r="D1341" t="s">
        <v>1842</v>
      </c>
      <c r="E1341" t="s">
        <v>1846</v>
      </c>
      <c r="F1341">
        <v>3</v>
      </c>
      <c r="G1341" t="s">
        <v>1860</v>
      </c>
    </row>
    <row r="1342" spans="1:7" x14ac:dyDescent="0.25">
      <c r="A1342" s="69" t="s">
        <v>178</v>
      </c>
      <c r="B1342" s="71">
        <v>43646</v>
      </c>
      <c r="C1342">
        <v>-16795</v>
      </c>
      <c r="D1342" t="s">
        <v>1842</v>
      </c>
      <c r="E1342" t="s">
        <v>1847</v>
      </c>
      <c r="F1342">
        <v>6</v>
      </c>
      <c r="G1342" t="s">
        <v>1861</v>
      </c>
    </row>
    <row r="1343" spans="1:7" x14ac:dyDescent="0.25">
      <c r="A1343" s="69" t="s">
        <v>178</v>
      </c>
      <c r="B1343" s="71">
        <v>43738</v>
      </c>
      <c r="C1343">
        <v>-21543</v>
      </c>
      <c r="D1343" t="s">
        <v>1842</v>
      </c>
      <c r="E1343" t="s">
        <v>1848</v>
      </c>
      <c r="F1343">
        <v>9</v>
      </c>
      <c r="G1343" t="s">
        <v>1862</v>
      </c>
    </row>
    <row r="1344" spans="1:7" x14ac:dyDescent="0.25">
      <c r="A1344" s="69" t="s">
        <v>178</v>
      </c>
      <c r="B1344" s="71">
        <v>43830</v>
      </c>
      <c r="C1344">
        <v>-25266</v>
      </c>
      <c r="D1344" t="s">
        <v>1842</v>
      </c>
      <c r="E1344" t="s">
        <v>1849</v>
      </c>
      <c r="F1344">
        <v>12</v>
      </c>
      <c r="G1344" t="s">
        <v>1863</v>
      </c>
    </row>
    <row r="1345" spans="1:7" x14ac:dyDescent="0.25">
      <c r="A1345" s="69" t="s">
        <v>178</v>
      </c>
      <c r="B1345" s="71">
        <v>43921</v>
      </c>
      <c r="C1345">
        <v>-24233</v>
      </c>
      <c r="D1345" t="s">
        <v>1843</v>
      </c>
      <c r="E1345" t="s">
        <v>1846</v>
      </c>
      <c r="F1345">
        <v>3</v>
      </c>
      <c r="G1345" t="s">
        <v>1860</v>
      </c>
    </row>
    <row r="1346" spans="1:7" x14ac:dyDescent="0.25">
      <c r="A1346" s="69" t="s">
        <v>178</v>
      </c>
      <c r="B1346" s="71">
        <v>44012</v>
      </c>
      <c r="C1346">
        <v>-10063</v>
      </c>
      <c r="D1346" t="s">
        <v>1843</v>
      </c>
      <c r="E1346" t="s">
        <v>1847</v>
      </c>
      <c r="F1346">
        <v>6</v>
      </c>
      <c r="G1346" t="s">
        <v>1861</v>
      </c>
    </row>
    <row r="1347" spans="1:7" x14ac:dyDescent="0.25">
      <c r="A1347" s="69" t="s">
        <v>178</v>
      </c>
      <c r="B1347" s="71">
        <v>44104</v>
      </c>
      <c r="C1347">
        <v>-15305</v>
      </c>
      <c r="D1347" t="s">
        <v>1843</v>
      </c>
      <c r="E1347" t="s">
        <v>1848</v>
      </c>
      <c r="F1347">
        <v>9</v>
      </c>
      <c r="G1347" t="s">
        <v>1862</v>
      </c>
    </row>
    <row r="1348" spans="1:7" x14ac:dyDescent="0.25">
      <c r="A1348" s="69" t="s">
        <v>178</v>
      </c>
      <c r="B1348" s="71">
        <v>44196</v>
      </c>
      <c r="C1348">
        <v>-8818</v>
      </c>
      <c r="D1348" t="s">
        <v>1843</v>
      </c>
      <c r="E1348" t="s">
        <v>1849</v>
      </c>
      <c r="F1348">
        <v>12</v>
      </c>
      <c r="G1348" t="s">
        <v>1863</v>
      </c>
    </row>
    <row r="1349" spans="1:7" x14ac:dyDescent="0.25">
      <c r="A1349" s="69" t="s">
        <v>178</v>
      </c>
      <c r="B1349" s="71">
        <v>44286</v>
      </c>
      <c r="C1349">
        <v>-13649</v>
      </c>
      <c r="D1349" t="s">
        <v>1844</v>
      </c>
      <c r="E1349" t="s">
        <v>1846</v>
      </c>
      <c r="F1349">
        <v>3</v>
      </c>
      <c r="G1349" t="s">
        <v>1860</v>
      </c>
    </row>
    <row r="1350" spans="1:7" x14ac:dyDescent="0.25">
      <c r="A1350" s="69" t="s">
        <v>178</v>
      </c>
      <c r="B1350" s="71">
        <v>44377</v>
      </c>
      <c r="C1350">
        <v>-8780</v>
      </c>
      <c r="D1350" t="s">
        <v>1844</v>
      </c>
      <c r="E1350" t="s">
        <v>1847</v>
      </c>
      <c r="F1350">
        <v>6</v>
      </c>
      <c r="G1350" t="s">
        <v>1861</v>
      </c>
    </row>
    <row r="1351" spans="1:7" x14ac:dyDescent="0.25">
      <c r="A1351" s="69" t="s">
        <v>178</v>
      </c>
      <c r="B1351" s="71">
        <v>44469</v>
      </c>
      <c r="C1351">
        <v>-8612</v>
      </c>
      <c r="D1351" t="s">
        <v>1844</v>
      </c>
      <c r="E1351" t="s">
        <v>1848</v>
      </c>
      <c r="F1351">
        <v>9</v>
      </c>
      <c r="G1351" t="s">
        <v>1862</v>
      </c>
    </row>
    <row r="1352" spans="1:7" x14ac:dyDescent="0.25">
      <c r="A1352" s="69" t="s">
        <v>178</v>
      </c>
      <c r="B1352" s="71">
        <v>44561</v>
      </c>
      <c r="C1352">
        <v>-16852</v>
      </c>
      <c r="D1352" t="s">
        <v>1844</v>
      </c>
      <c r="E1352" t="s">
        <v>1849</v>
      </c>
      <c r="F1352">
        <v>12</v>
      </c>
      <c r="G1352" t="s">
        <v>1863</v>
      </c>
    </row>
    <row r="1353" spans="1:7" x14ac:dyDescent="0.25">
      <c r="A1353" s="69" t="s">
        <v>178</v>
      </c>
      <c r="B1353" s="71">
        <v>44651</v>
      </c>
      <c r="C1353">
        <v>-17285</v>
      </c>
      <c r="D1353" t="s">
        <v>1845</v>
      </c>
      <c r="E1353" t="s">
        <v>1846</v>
      </c>
      <c r="F1353">
        <v>3</v>
      </c>
      <c r="G1353" t="s">
        <v>1860</v>
      </c>
    </row>
    <row r="1354" spans="1:7" x14ac:dyDescent="0.25">
      <c r="A1354" s="69" t="s">
        <v>178</v>
      </c>
      <c r="B1354" s="71">
        <v>44742</v>
      </c>
      <c r="C1354">
        <v>-8324</v>
      </c>
      <c r="D1354" t="s">
        <v>1845</v>
      </c>
      <c r="E1354" t="s">
        <v>1847</v>
      </c>
      <c r="F1354">
        <v>6</v>
      </c>
      <c r="G1354" t="s">
        <v>1861</v>
      </c>
    </row>
    <row r="1355" spans="1:7" x14ac:dyDescent="0.25">
      <c r="A1355" s="69" t="s">
        <v>178</v>
      </c>
      <c r="B1355" s="71">
        <v>44834</v>
      </c>
      <c r="C1355">
        <v>-21946</v>
      </c>
      <c r="D1355" t="s">
        <v>1845</v>
      </c>
      <c r="E1355" t="s">
        <v>1848</v>
      </c>
      <c r="F1355">
        <v>9</v>
      </c>
      <c r="G1355" t="s">
        <v>1862</v>
      </c>
    </row>
    <row r="1356" spans="1:7" x14ac:dyDescent="0.25">
      <c r="A1356" s="69" t="s">
        <v>178</v>
      </c>
      <c r="B1356" s="71">
        <v>44926</v>
      </c>
      <c r="C1356">
        <v>-20349</v>
      </c>
      <c r="D1356" t="s">
        <v>1845</v>
      </c>
      <c r="E1356" t="s">
        <v>1849</v>
      </c>
      <c r="F1356">
        <v>12</v>
      </c>
      <c r="G1356" t="s">
        <v>1863</v>
      </c>
    </row>
    <row r="1357" spans="1:7" x14ac:dyDescent="0.25">
      <c r="A1357" s="69" t="s">
        <v>181</v>
      </c>
      <c r="B1357" s="71">
        <v>42460</v>
      </c>
      <c r="C1357">
        <v>-7184</v>
      </c>
      <c r="D1357" t="s">
        <v>1839</v>
      </c>
      <c r="E1357" t="s">
        <v>1846</v>
      </c>
      <c r="F1357">
        <v>3</v>
      </c>
      <c r="G1357" t="s">
        <v>1860</v>
      </c>
    </row>
    <row r="1358" spans="1:7" x14ac:dyDescent="0.25">
      <c r="A1358" s="69" t="s">
        <v>181</v>
      </c>
      <c r="B1358" s="71">
        <v>42551</v>
      </c>
      <c r="C1358">
        <v>-8951</v>
      </c>
      <c r="D1358" t="s">
        <v>1839</v>
      </c>
      <c r="E1358" t="s">
        <v>1847</v>
      </c>
      <c r="F1358">
        <v>6</v>
      </c>
      <c r="G1358" t="s">
        <v>1861</v>
      </c>
    </row>
    <row r="1359" spans="1:7" x14ac:dyDescent="0.25">
      <c r="A1359" s="69" t="s">
        <v>181</v>
      </c>
      <c r="B1359" s="71">
        <v>42643</v>
      </c>
      <c r="C1359">
        <v>-10126</v>
      </c>
      <c r="D1359" t="s">
        <v>1839</v>
      </c>
      <c r="E1359" t="s">
        <v>1848</v>
      </c>
      <c r="F1359">
        <v>9</v>
      </c>
      <c r="G1359" t="s">
        <v>1862</v>
      </c>
    </row>
    <row r="1360" spans="1:7" x14ac:dyDescent="0.25">
      <c r="A1360" s="69" t="s">
        <v>181</v>
      </c>
      <c r="B1360" s="71">
        <v>42735</v>
      </c>
      <c r="C1360">
        <v>-11100</v>
      </c>
      <c r="D1360" t="s">
        <v>1839</v>
      </c>
      <c r="E1360" t="s">
        <v>1849</v>
      </c>
      <c r="F1360">
        <v>12</v>
      </c>
      <c r="G1360" t="s">
        <v>1863</v>
      </c>
    </row>
    <row r="1361" spans="1:7" x14ac:dyDescent="0.25">
      <c r="A1361" s="69" t="s">
        <v>181</v>
      </c>
      <c r="B1361" s="71">
        <v>42825</v>
      </c>
      <c r="C1361">
        <v>-8390</v>
      </c>
      <c r="D1361" t="s">
        <v>1840</v>
      </c>
      <c r="E1361" t="s">
        <v>1846</v>
      </c>
      <c r="F1361">
        <v>3</v>
      </c>
      <c r="G1361" t="s">
        <v>1860</v>
      </c>
    </row>
    <row r="1362" spans="1:7" x14ac:dyDescent="0.25">
      <c r="A1362" s="69" t="s">
        <v>181</v>
      </c>
      <c r="B1362" s="71">
        <v>42916</v>
      </c>
      <c r="C1362">
        <v>-8824</v>
      </c>
      <c r="D1362" t="s">
        <v>1840</v>
      </c>
      <c r="E1362" t="s">
        <v>1847</v>
      </c>
      <c r="F1362">
        <v>6</v>
      </c>
      <c r="G1362" t="s">
        <v>1861</v>
      </c>
    </row>
    <row r="1363" spans="1:7" x14ac:dyDescent="0.25">
      <c r="A1363" s="69" t="s">
        <v>181</v>
      </c>
      <c r="B1363" s="71">
        <v>43008</v>
      </c>
      <c r="C1363">
        <v>-9873</v>
      </c>
      <c r="D1363" t="s">
        <v>1840</v>
      </c>
      <c r="E1363" t="s">
        <v>1848</v>
      </c>
      <c r="F1363">
        <v>9</v>
      </c>
      <c r="G1363" t="s">
        <v>1862</v>
      </c>
    </row>
    <row r="1364" spans="1:7" x14ac:dyDescent="0.25">
      <c r="A1364" s="69" t="s">
        <v>181</v>
      </c>
      <c r="B1364" s="71">
        <v>43100</v>
      </c>
      <c r="C1364">
        <v>-12435</v>
      </c>
      <c r="D1364" t="s">
        <v>1840</v>
      </c>
      <c r="E1364" t="s">
        <v>1849</v>
      </c>
      <c r="F1364">
        <v>12</v>
      </c>
      <c r="G1364" t="s">
        <v>1863</v>
      </c>
    </row>
    <row r="1365" spans="1:7" x14ac:dyDescent="0.25">
      <c r="A1365" s="69" t="s">
        <v>181</v>
      </c>
      <c r="B1365" s="71">
        <v>43190</v>
      </c>
      <c r="C1365">
        <v>-8851</v>
      </c>
      <c r="D1365" t="s">
        <v>1841</v>
      </c>
      <c r="E1365" t="s">
        <v>1846</v>
      </c>
      <c r="F1365">
        <v>3</v>
      </c>
      <c r="G1365" t="s">
        <v>1860</v>
      </c>
    </row>
    <row r="1366" spans="1:7" x14ac:dyDescent="0.25">
      <c r="A1366" s="69" t="s">
        <v>181</v>
      </c>
      <c r="B1366" s="71">
        <v>43281</v>
      </c>
      <c r="C1366">
        <v>-10659</v>
      </c>
      <c r="D1366" t="s">
        <v>1841</v>
      </c>
      <c r="E1366" t="s">
        <v>1847</v>
      </c>
      <c r="F1366">
        <v>6</v>
      </c>
      <c r="G1366" t="s">
        <v>1861</v>
      </c>
    </row>
    <row r="1367" spans="1:7" x14ac:dyDescent="0.25">
      <c r="A1367" s="69" t="s">
        <v>181</v>
      </c>
      <c r="B1367" s="71">
        <v>43373</v>
      </c>
      <c r="C1367">
        <v>-11566</v>
      </c>
      <c r="D1367" t="s">
        <v>1841</v>
      </c>
      <c r="E1367" t="s">
        <v>1848</v>
      </c>
      <c r="F1367">
        <v>9</v>
      </c>
      <c r="G1367" t="s">
        <v>1862</v>
      </c>
    </row>
    <row r="1368" spans="1:7" x14ac:dyDescent="0.25">
      <c r="A1368" s="69" t="s">
        <v>181</v>
      </c>
      <c r="B1368" s="71">
        <v>43465</v>
      </c>
      <c r="C1368">
        <v>-14207</v>
      </c>
      <c r="D1368" t="s">
        <v>1841</v>
      </c>
      <c r="E1368" t="s">
        <v>1849</v>
      </c>
      <c r="F1368">
        <v>12</v>
      </c>
      <c r="G1368" t="s">
        <v>1863</v>
      </c>
    </row>
    <row r="1369" spans="1:7" x14ac:dyDescent="0.25">
      <c r="A1369" s="69" t="s">
        <v>181</v>
      </c>
      <c r="B1369" s="71">
        <v>43555</v>
      </c>
      <c r="C1369">
        <v>-10051</v>
      </c>
      <c r="D1369" t="s">
        <v>1842</v>
      </c>
      <c r="E1369" t="s">
        <v>1846</v>
      </c>
      <c r="F1369">
        <v>3</v>
      </c>
      <c r="G1369" t="s">
        <v>1860</v>
      </c>
    </row>
    <row r="1370" spans="1:7" x14ac:dyDescent="0.25">
      <c r="A1370" s="69" t="s">
        <v>181</v>
      </c>
      <c r="B1370" s="71">
        <v>43646</v>
      </c>
      <c r="C1370">
        <v>-14193</v>
      </c>
      <c r="D1370" t="s">
        <v>1842</v>
      </c>
      <c r="E1370" t="s">
        <v>1847</v>
      </c>
      <c r="F1370">
        <v>6</v>
      </c>
      <c r="G1370" t="s">
        <v>1861</v>
      </c>
    </row>
    <row r="1371" spans="1:7" x14ac:dyDescent="0.25">
      <c r="A1371" s="69" t="s">
        <v>181</v>
      </c>
      <c r="B1371" s="71">
        <v>43738</v>
      </c>
      <c r="C1371">
        <v>-11916</v>
      </c>
      <c r="D1371" t="s">
        <v>1842</v>
      </c>
      <c r="E1371" t="s">
        <v>1848</v>
      </c>
      <c r="F1371">
        <v>9</v>
      </c>
      <c r="G1371" t="s">
        <v>1862</v>
      </c>
    </row>
    <row r="1372" spans="1:7" x14ac:dyDescent="0.25">
      <c r="A1372" s="69" t="s">
        <v>181</v>
      </c>
      <c r="B1372" s="71">
        <v>43830</v>
      </c>
      <c r="C1372">
        <v>-11627</v>
      </c>
      <c r="D1372" t="s">
        <v>1842</v>
      </c>
      <c r="E1372" t="s">
        <v>1849</v>
      </c>
      <c r="F1372">
        <v>12</v>
      </c>
      <c r="G1372" t="s">
        <v>1863</v>
      </c>
    </row>
    <row r="1373" spans="1:7" x14ac:dyDescent="0.25">
      <c r="A1373" s="69" t="s">
        <v>181</v>
      </c>
      <c r="B1373" s="71">
        <v>43921</v>
      </c>
      <c r="C1373">
        <v>-10729</v>
      </c>
      <c r="D1373" t="s">
        <v>1843</v>
      </c>
      <c r="E1373" t="s">
        <v>1846</v>
      </c>
      <c r="F1373">
        <v>3</v>
      </c>
      <c r="G1373" t="s">
        <v>1860</v>
      </c>
    </row>
    <row r="1374" spans="1:7" x14ac:dyDescent="0.25">
      <c r="A1374" s="69" t="s">
        <v>181</v>
      </c>
      <c r="B1374" s="71">
        <v>44012</v>
      </c>
      <c r="C1374">
        <v>-6314</v>
      </c>
      <c r="D1374" t="s">
        <v>1843</v>
      </c>
      <c r="E1374" t="s">
        <v>1847</v>
      </c>
      <c r="F1374">
        <v>6</v>
      </c>
      <c r="G1374" t="s">
        <v>1861</v>
      </c>
    </row>
    <row r="1375" spans="1:7" x14ac:dyDescent="0.25">
      <c r="A1375" s="69" t="s">
        <v>181</v>
      </c>
      <c r="B1375" s="71">
        <v>44104</v>
      </c>
      <c r="C1375">
        <v>-11079</v>
      </c>
      <c r="D1375" t="s">
        <v>1843</v>
      </c>
      <c r="E1375" t="s">
        <v>1848</v>
      </c>
      <c r="F1375">
        <v>9</v>
      </c>
      <c r="G1375" t="s">
        <v>1862</v>
      </c>
    </row>
    <row r="1376" spans="1:7" x14ac:dyDescent="0.25">
      <c r="A1376" s="69" t="s">
        <v>181</v>
      </c>
      <c r="B1376" s="71">
        <v>44196</v>
      </c>
      <c r="C1376">
        <v>-7327</v>
      </c>
      <c r="D1376" t="s">
        <v>1843</v>
      </c>
      <c r="E1376" t="s">
        <v>1849</v>
      </c>
      <c r="F1376">
        <v>12</v>
      </c>
      <c r="G1376" t="s">
        <v>1863</v>
      </c>
    </row>
    <row r="1377" spans="1:7" x14ac:dyDescent="0.25">
      <c r="A1377" s="69" t="s">
        <v>181</v>
      </c>
      <c r="B1377" s="71">
        <v>44286</v>
      </c>
      <c r="C1377">
        <v>-6014</v>
      </c>
      <c r="D1377" t="s">
        <v>1844</v>
      </c>
      <c r="E1377" t="s">
        <v>1846</v>
      </c>
      <c r="F1377">
        <v>3</v>
      </c>
      <c r="G1377" t="s">
        <v>1860</v>
      </c>
    </row>
    <row r="1378" spans="1:7" x14ac:dyDescent="0.25">
      <c r="A1378" s="69" t="s">
        <v>181</v>
      </c>
      <c r="B1378" s="71">
        <v>44377</v>
      </c>
      <c r="C1378">
        <v>-4962</v>
      </c>
      <c r="D1378" t="s">
        <v>1844</v>
      </c>
      <c r="E1378" t="s">
        <v>1847</v>
      </c>
      <c r="F1378">
        <v>6</v>
      </c>
      <c r="G1378" t="s">
        <v>1861</v>
      </c>
    </row>
    <row r="1379" spans="1:7" x14ac:dyDescent="0.25">
      <c r="A1379" s="69" t="s">
        <v>181</v>
      </c>
      <c r="B1379" s="71">
        <v>44469</v>
      </c>
      <c r="C1379">
        <v>-5929</v>
      </c>
      <c r="D1379" t="s">
        <v>1844</v>
      </c>
      <c r="E1379" t="s">
        <v>1848</v>
      </c>
      <c r="F1379">
        <v>9</v>
      </c>
      <c r="G1379" t="s">
        <v>1862</v>
      </c>
    </row>
    <row r="1380" spans="1:7" x14ac:dyDescent="0.25">
      <c r="A1380" s="69" t="s">
        <v>181</v>
      </c>
      <c r="B1380" s="71">
        <v>44561</v>
      </c>
      <c r="C1380">
        <v>-8095</v>
      </c>
      <c r="D1380" t="s">
        <v>1844</v>
      </c>
      <c r="E1380" t="s">
        <v>1849</v>
      </c>
      <c r="F1380">
        <v>12</v>
      </c>
      <c r="G1380" t="s">
        <v>1863</v>
      </c>
    </row>
    <row r="1381" spans="1:7" x14ac:dyDescent="0.25">
      <c r="A1381" s="69" t="s">
        <v>181</v>
      </c>
      <c r="B1381" s="71">
        <v>44651</v>
      </c>
      <c r="C1381">
        <v>-4379</v>
      </c>
      <c r="D1381" t="s">
        <v>1845</v>
      </c>
      <c r="E1381" t="s">
        <v>1846</v>
      </c>
      <c r="F1381">
        <v>3</v>
      </c>
      <c r="G1381" t="s">
        <v>1860</v>
      </c>
    </row>
    <row r="1382" spans="1:7" x14ac:dyDescent="0.25">
      <c r="A1382" s="69" t="s">
        <v>181</v>
      </c>
      <c r="B1382" s="71">
        <v>44742</v>
      </c>
      <c r="C1382">
        <v>-6997</v>
      </c>
      <c r="D1382" t="s">
        <v>1845</v>
      </c>
      <c r="E1382" t="s">
        <v>1847</v>
      </c>
      <c r="F1382">
        <v>6</v>
      </c>
      <c r="G1382" t="s">
        <v>1861</v>
      </c>
    </row>
    <row r="1383" spans="1:7" x14ac:dyDescent="0.25">
      <c r="A1383" s="69" t="s">
        <v>181</v>
      </c>
      <c r="B1383" s="71">
        <v>44834</v>
      </c>
      <c r="C1383">
        <v>-8887</v>
      </c>
      <c r="D1383" t="s">
        <v>1845</v>
      </c>
      <c r="E1383" t="s">
        <v>1848</v>
      </c>
      <c r="F1383">
        <v>9</v>
      </c>
      <c r="G1383" t="s">
        <v>1862</v>
      </c>
    </row>
    <row r="1384" spans="1:7" x14ac:dyDescent="0.25">
      <c r="A1384" s="69" t="s">
        <v>181</v>
      </c>
      <c r="B1384" s="71">
        <v>44926</v>
      </c>
      <c r="C1384">
        <v>-13976</v>
      </c>
      <c r="D1384" t="s">
        <v>1845</v>
      </c>
      <c r="E1384" t="s">
        <v>1849</v>
      </c>
      <c r="F1384">
        <v>12</v>
      </c>
      <c r="G1384" t="s">
        <v>1863</v>
      </c>
    </row>
    <row r="1385" spans="1:7" x14ac:dyDescent="0.25">
      <c r="A1385" s="69" t="s">
        <v>185</v>
      </c>
      <c r="B1385" s="71">
        <v>42460</v>
      </c>
      <c r="C1385">
        <v>-2138</v>
      </c>
      <c r="D1385" t="s">
        <v>1839</v>
      </c>
      <c r="E1385" t="s">
        <v>1846</v>
      </c>
      <c r="F1385">
        <v>3</v>
      </c>
      <c r="G1385" t="s">
        <v>1860</v>
      </c>
    </row>
    <row r="1386" spans="1:7" x14ac:dyDescent="0.25">
      <c r="A1386" s="69" t="s">
        <v>185</v>
      </c>
      <c r="B1386" s="71">
        <v>42551</v>
      </c>
      <c r="C1386">
        <v>-6647</v>
      </c>
      <c r="D1386" t="s">
        <v>1839</v>
      </c>
      <c r="E1386" t="s">
        <v>1847</v>
      </c>
      <c r="F1386">
        <v>6</v>
      </c>
      <c r="G1386" t="s">
        <v>1861</v>
      </c>
    </row>
    <row r="1387" spans="1:7" x14ac:dyDescent="0.25">
      <c r="A1387" s="69" t="s">
        <v>185</v>
      </c>
      <c r="B1387" s="71">
        <v>42643</v>
      </c>
      <c r="C1387">
        <v>-8199</v>
      </c>
      <c r="D1387" t="s">
        <v>1839</v>
      </c>
      <c r="E1387" t="s">
        <v>1848</v>
      </c>
      <c r="F1387">
        <v>9</v>
      </c>
      <c r="G1387" t="s">
        <v>1862</v>
      </c>
    </row>
    <row r="1388" spans="1:7" x14ac:dyDescent="0.25">
      <c r="A1388" s="69" t="s">
        <v>185</v>
      </c>
      <c r="B1388" s="71">
        <v>42735</v>
      </c>
      <c r="C1388">
        <v>-5182</v>
      </c>
      <c r="D1388" t="s">
        <v>1839</v>
      </c>
      <c r="E1388" t="s">
        <v>1849</v>
      </c>
      <c r="F1388">
        <v>12</v>
      </c>
      <c r="G1388" t="s">
        <v>1863</v>
      </c>
    </row>
    <row r="1389" spans="1:7" x14ac:dyDescent="0.25">
      <c r="A1389" s="69" t="s">
        <v>185</v>
      </c>
      <c r="B1389" s="71">
        <v>42825</v>
      </c>
      <c r="C1389">
        <v>-4137</v>
      </c>
      <c r="D1389" t="s">
        <v>1840</v>
      </c>
      <c r="E1389" t="s">
        <v>1846</v>
      </c>
      <c r="F1389">
        <v>3</v>
      </c>
      <c r="G1389" t="s">
        <v>1860</v>
      </c>
    </row>
    <row r="1390" spans="1:7" x14ac:dyDescent="0.25">
      <c r="A1390" s="69" t="s">
        <v>185</v>
      </c>
      <c r="B1390" s="71">
        <v>42916</v>
      </c>
      <c r="C1390">
        <v>-6187</v>
      </c>
      <c r="D1390" t="s">
        <v>1840</v>
      </c>
      <c r="E1390" t="s">
        <v>1847</v>
      </c>
      <c r="F1390">
        <v>6</v>
      </c>
      <c r="G1390" t="s">
        <v>1861</v>
      </c>
    </row>
    <row r="1391" spans="1:7" x14ac:dyDescent="0.25">
      <c r="A1391" s="69" t="s">
        <v>185</v>
      </c>
      <c r="B1391" s="71">
        <v>43008</v>
      </c>
      <c r="C1391">
        <v>-8714</v>
      </c>
      <c r="D1391" t="s">
        <v>1840</v>
      </c>
      <c r="E1391" t="s">
        <v>1848</v>
      </c>
      <c r="F1391">
        <v>9</v>
      </c>
      <c r="G1391" t="s">
        <v>1862</v>
      </c>
    </row>
    <row r="1392" spans="1:7" x14ac:dyDescent="0.25">
      <c r="A1392" s="69" t="s">
        <v>185</v>
      </c>
      <c r="B1392" s="71">
        <v>43100</v>
      </c>
      <c r="C1392">
        <v>-4180</v>
      </c>
      <c r="D1392" t="s">
        <v>1840</v>
      </c>
      <c r="E1392" t="s">
        <v>1849</v>
      </c>
      <c r="F1392">
        <v>12</v>
      </c>
      <c r="G1392" t="s">
        <v>1863</v>
      </c>
    </row>
    <row r="1393" spans="1:7" x14ac:dyDescent="0.25">
      <c r="A1393" s="69" t="s">
        <v>185</v>
      </c>
      <c r="B1393" s="71">
        <v>43190</v>
      </c>
      <c r="C1393">
        <v>-5235</v>
      </c>
      <c r="D1393" t="s">
        <v>1841</v>
      </c>
      <c r="E1393" t="s">
        <v>1846</v>
      </c>
      <c r="F1393">
        <v>3</v>
      </c>
      <c r="G1393" t="s">
        <v>1860</v>
      </c>
    </row>
    <row r="1394" spans="1:7" x14ac:dyDescent="0.25">
      <c r="A1394" s="69" t="s">
        <v>185</v>
      </c>
      <c r="B1394" s="71">
        <v>43281</v>
      </c>
      <c r="C1394">
        <v>-8190</v>
      </c>
      <c r="D1394" t="s">
        <v>1841</v>
      </c>
      <c r="E1394" t="s">
        <v>1847</v>
      </c>
      <c r="F1394">
        <v>6</v>
      </c>
      <c r="G1394" t="s">
        <v>1861</v>
      </c>
    </row>
    <row r="1395" spans="1:7" x14ac:dyDescent="0.25">
      <c r="A1395" s="69" t="s">
        <v>185</v>
      </c>
      <c r="B1395" s="71">
        <v>43373</v>
      </c>
      <c r="C1395">
        <v>-5433</v>
      </c>
      <c r="D1395" t="s">
        <v>1841</v>
      </c>
      <c r="E1395" t="s">
        <v>1848</v>
      </c>
      <c r="F1395">
        <v>9</v>
      </c>
      <c r="G1395" t="s">
        <v>1862</v>
      </c>
    </row>
    <row r="1396" spans="1:7" x14ac:dyDescent="0.25">
      <c r="A1396" s="69" t="s">
        <v>185</v>
      </c>
      <c r="B1396" s="71">
        <v>43465</v>
      </c>
      <c r="C1396">
        <v>-6395</v>
      </c>
      <c r="D1396" t="s">
        <v>1841</v>
      </c>
      <c r="E1396" t="s">
        <v>1849</v>
      </c>
      <c r="F1396">
        <v>12</v>
      </c>
      <c r="G1396" t="s">
        <v>1863</v>
      </c>
    </row>
    <row r="1397" spans="1:7" x14ac:dyDescent="0.25">
      <c r="A1397" s="69" t="s">
        <v>185</v>
      </c>
      <c r="B1397" s="71">
        <v>43555</v>
      </c>
      <c r="C1397">
        <v>-724</v>
      </c>
      <c r="D1397" t="s">
        <v>1842</v>
      </c>
      <c r="E1397" t="s">
        <v>1846</v>
      </c>
      <c r="F1397">
        <v>3</v>
      </c>
      <c r="G1397" t="s">
        <v>1860</v>
      </c>
    </row>
    <row r="1398" spans="1:7" x14ac:dyDescent="0.25">
      <c r="A1398" s="69" t="s">
        <v>185</v>
      </c>
      <c r="B1398" s="71">
        <v>43646</v>
      </c>
      <c r="C1398">
        <v>-9821</v>
      </c>
      <c r="D1398" t="s">
        <v>1842</v>
      </c>
      <c r="E1398" t="s">
        <v>1847</v>
      </c>
      <c r="F1398">
        <v>6</v>
      </c>
      <c r="G1398" t="s">
        <v>1861</v>
      </c>
    </row>
    <row r="1399" spans="1:7" x14ac:dyDescent="0.25">
      <c r="A1399" s="69" t="s">
        <v>185</v>
      </c>
      <c r="B1399" s="71">
        <v>43738</v>
      </c>
      <c r="C1399">
        <v>-13217</v>
      </c>
      <c r="D1399" t="s">
        <v>1842</v>
      </c>
      <c r="E1399" t="s">
        <v>1848</v>
      </c>
      <c r="F1399">
        <v>9</v>
      </c>
      <c r="G1399" t="s">
        <v>1862</v>
      </c>
    </row>
    <row r="1400" spans="1:7" x14ac:dyDescent="0.25">
      <c r="A1400" s="69" t="s">
        <v>185</v>
      </c>
      <c r="B1400" s="71">
        <v>43830</v>
      </c>
      <c r="C1400">
        <v>-26742</v>
      </c>
      <c r="D1400" t="s">
        <v>1842</v>
      </c>
      <c r="E1400" t="s">
        <v>1849</v>
      </c>
      <c r="F1400">
        <v>12</v>
      </c>
      <c r="G1400" t="s">
        <v>1863</v>
      </c>
    </row>
    <row r="1401" spans="1:7" x14ac:dyDescent="0.25">
      <c r="A1401" s="69" t="s">
        <v>185</v>
      </c>
      <c r="B1401" s="71">
        <v>43921</v>
      </c>
      <c r="C1401">
        <v>-13627</v>
      </c>
      <c r="D1401" t="s">
        <v>1843</v>
      </c>
      <c r="E1401" t="s">
        <v>1846</v>
      </c>
      <c r="F1401">
        <v>3</v>
      </c>
      <c r="G1401" t="s">
        <v>1860</v>
      </c>
    </row>
    <row r="1402" spans="1:7" x14ac:dyDescent="0.25">
      <c r="A1402" s="69" t="s">
        <v>185</v>
      </c>
      <c r="B1402" s="71">
        <v>44012</v>
      </c>
      <c r="C1402">
        <v>10753</v>
      </c>
      <c r="D1402" t="s">
        <v>1843</v>
      </c>
      <c r="E1402" t="s">
        <v>1847</v>
      </c>
      <c r="F1402">
        <v>6</v>
      </c>
      <c r="G1402" t="s">
        <v>1861</v>
      </c>
    </row>
    <row r="1403" spans="1:7" x14ac:dyDescent="0.25">
      <c r="A1403" s="69" t="s">
        <v>185</v>
      </c>
      <c r="B1403" s="71">
        <v>44104</v>
      </c>
      <c r="C1403">
        <v>-91</v>
      </c>
      <c r="D1403" t="s">
        <v>1843</v>
      </c>
      <c r="E1403" t="s">
        <v>1848</v>
      </c>
      <c r="F1403">
        <v>9</v>
      </c>
      <c r="G1403" t="s">
        <v>1862</v>
      </c>
    </row>
    <row r="1404" spans="1:7" x14ac:dyDescent="0.25">
      <c r="A1404" s="69" t="s">
        <v>185</v>
      </c>
      <c r="B1404" s="71">
        <v>44196</v>
      </c>
      <c r="C1404">
        <v>-190</v>
      </c>
      <c r="D1404" t="s">
        <v>1843</v>
      </c>
      <c r="E1404" t="s">
        <v>1849</v>
      </c>
      <c r="F1404">
        <v>12</v>
      </c>
      <c r="G1404" t="s">
        <v>1863</v>
      </c>
    </row>
    <row r="1405" spans="1:7" x14ac:dyDescent="0.25">
      <c r="A1405" s="69" t="s">
        <v>185</v>
      </c>
      <c r="B1405" s="71">
        <v>44286</v>
      </c>
      <c r="C1405">
        <v>-2446</v>
      </c>
      <c r="D1405" t="s">
        <v>1844</v>
      </c>
      <c r="E1405" t="s">
        <v>1846</v>
      </c>
      <c r="F1405">
        <v>3</v>
      </c>
      <c r="G1405" t="s">
        <v>1860</v>
      </c>
    </row>
    <row r="1406" spans="1:7" x14ac:dyDescent="0.25">
      <c r="A1406" s="69" t="s">
        <v>185</v>
      </c>
      <c r="B1406" s="71">
        <v>44377</v>
      </c>
      <c r="C1406">
        <v>253</v>
      </c>
      <c r="D1406" t="s">
        <v>1844</v>
      </c>
      <c r="E1406" t="s">
        <v>1847</v>
      </c>
      <c r="F1406">
        <v>6</v>
      </c>
      <c r="G1406" t="s">
        <v>1861</v>
      </c>
    </row>
    <row r="1407" spans="1:7" x14ac:dyDescent="0.25">
      <c r="A1407" s="69" t="s">
        <v>185</v>
      </c>
      <c r="B1407" s="71">
        <v>44469</v>
      </c>
      <c r="C1407">
        <v>-462</v>
      </c>
      <c r="D1407" t="s">
        <v>1844</v>
      </c>
      <c r="E1407" t="s">
        <v>1848</v>
      </c>
      <c r="F1407">
        <v>9</v>
      </c>
      <c r="G1407" t="s">
        <v>1862</v>
      </c>
    </row>
    <row r="1408" spans="1:7" x14ac:dyDescent="0.25">
      <c r="A1408" s="69" t="s">
        <v>185</v>
      </c>
      <c r="B1408" s="71">
        <v>44561</v>
      </c>
      <c r="C1408">
        <v>2846</v>
      </c>
      <c r="D1408" t="s">
        <v>1844</v>
      </c>
      <c r="E1408" t="s">
        <v>1849</v>
      </c>
      <c r="F1408">
        <v>12</v>
      </c>
      <c r="G1408" t="s">
        <v>1863</v>
      </c>
    </row>
    <row r="1409" spans="1:7" x14ac:dyDescent="0.25">
      <c r="A1409" s="69" t="s">
        <v>185</v>
      </c>
      <c r="B1409" s="71">
        <v>44834</v>
      </c>
      <c r="C1409">
        <v>-491</v>
      </c>
      <c r="D1409" t="s">
        <v>1845</v>
      </c>
      <c r="E1409" t="s">
        <v>1848</v>
      </c>
      <c r="F1409">
        <v>9</v>
      </c>
      <c r="G1409" t="s">
        <v>1862</v>
      </c>
    </row>
    <row r="1410" spans="1:7" x14ac:dyDescent="0.25">
      <c r="A1410" s="69" t="s">
        <v>185</v>
      </c>
      <c r="B1410" s="71">
        <v>44926</v>
      </c>
      <c r="C1410">
        <v>-3100</v>
      </c>
      <c r="D1410" t="s">
        <v>1845</v>
      </c>
      <c r="E1410" t="s">
        <v>1849</v>
      </c>
      <c r="F1410">
        <v>12</v>
      </c>
      <c r="G1410" t="s">
        <v>1863</v>
      </c>
    </row>
    <row r="1411" spans="1:7" x14ac:dyDescent="0.25">
      <c r="A1411" s="69" t="s">
        <v>190</v>
      </c>
      <c r="B1411" s="71">
        <v>42460</v>
      </c>
      <c r="C1411">
        <v>-1771</v>
      </c>
      <c r="D1411" t="s">
        <v>1839</v>
      </c>
      <c r="E1411" t="s">
        <v>1846</v>
      </c>
      <c r="F1411">
        <v>3</v>
      </c>
      <c r="G1411" t="s">
        <v>1860</v>
      </c>
    </row>
    <row r="1412" spans="1:7" x14ac:dyDescent="0.25">
      <c r="A1412" s="69" t="s">
        <v>190</v>
      </c>
      <c r="B1412" s="71">
        <v>42551</v>
      </c>
      <c r="C1412">
        <v>1771</v>
      </c>
      <c r="D1412" t="s">
        <v>1839</v>
      </c>
      <c r="E1412" t="s">
        <v>1847</v>
      </c>
      <c r="F1412">
        <v>6</v>
      </c>
      <c r="G1412" t="s">
        <v>1861</v>
      </c>
    </row>
    <row r="1413" spans="1:7" x14ac:dyDescent="0.25">
      <c r="A1413" s="69" t="s">
        <v>195</v>
      </c>
      <c r="B1413" s="71">
        <v>42735</v>
      </c>
      <c r="C1413">
        <v>-890</v>
      </c>
      <c r="D1413" t="s">
        <v>1839</v>
      </c>
      <c r="E1413" t="s">
        <v>1849</v>
      </c>
      <c r="F1413">
        <v>12</v>
      </c>
      <c r="G1413" t="s">
        <v>1863</v>
      </c>
    </row>
    <row r="1414" spans="1:7" x14ac:dyDescent="0.25">
      <c r="A1414" s="69" t="s">
        <v>195</v>
      </c>
      <c r="B1414" s="71">
        <v>44286</v>
      </c>
      <c r="C1414">
        <v>-825</v>
      </c>
      <c r="D1414" t="s">
        <v>1844</v>
      </c>
      <c r="E1414" t="s">
        <v>1846</v>
      </c>
      <c r="F1414">
        <v>3</v>
      </c>
      <c r="G1414" t="s">
        <v>1860</v>
      </c>
    </row>
    <row r="1415" spans="1:7" x14ac:dyDescent="0.25">
      <c r="A1415" s="69" t="s">
        <v>195</v>
      </c>
      <c r="B1415" s="71">
        <v>44377</v>
      </c>
      <c r="C1415">
        <v>825</v>
      </c>
      <c r="D1415" t="s">
        <v>1844</v>
      </c>
      <c r="E1415" t="s">
        <v>1847</v>
      </c>
      <c r="F1415">
        <v>6</v>
      </c>
      <c r="G1415" t="s">
        <v>1861</v>
      </c>
    </row>
    <row r="1416" spans="1:7" x14ac:dyDescent="0.25">
      <c r="A1416" s="69" t="s">
        <v>195</v>
      </c>
      <c r="B1416" s="71">
        <v>44561</v>
      </c>
      <c r="C1416">
        <v>-4979</v>
      </c>
      <c r="D1416" t="s">
        <v>1844</v>
      </c>
      <c r="E1416" t="s">
        <v>1849</v>
      </c>
      <c r="F1416">
        <v>12</v>
      </c>
      <c r="G1416" t="s">
        <v>1863</v>
      </c>
    </row>
    <row r="1417" spans="1:7" x14ac:dyDescent="0.25">
      <c r="A1417" s="69" t="s">
        <v>195</v>
      </c>
      <c r="B1417" s="71">
        <v>44651</v>
      </c>
      <c r="C1417">
        <v>-1776</v>
      </c>
      <c r="D1417" t="s">
        <v>1845</v>
      </c>
      <c r="E1417" t="s">
        <v>1846</v>
      </c>
      <c r="F1417">
        <v>3</v>
      </c>
      <c r="G1417" t="s">
        <v>1860</v>
      </c>
    </row>
    <row r="1418" spans="1:7" x14ac:dyDescent="0.25">
      <c r="A1418" s="69" t="s">
        <v>195</v>
      </c>
      <c r="B1418" s="71">
        <v>44742</v>
      </c>
      <c r="C1418">
        <v>-1518</v>
      </c>
      <c r="D1418" t="s">
        <v>1845</v>
      </c>
      <c r="E1418" t="s">
        <v>1847</v>
      </c>
      <c r="F1418">
        <v>6</v>
      </c>
      <c r="G1418" t="s">
        <v>1861</v>
      </c>
    </row>
    <row r="1419" spans="1:7" x14ac:dyDescent="0.25">
      <c r="A1419" s="69" t="s">
        <v>195</v>
      </c>
      <c r="B1419" s="71">
        <v>44834</v>
      </c>
      <c r="C1419">
        <v>-3249</v>
      </c>
      <c r="D1419" t="s">
        <v>1845</v>
      </c>
      <c r="E1419" t="s">
        <v>1848</v>
      </c>
      <c r="F1419">
        <v>9</v>
      </c>
      <c r="G1419" t="s">
        <v>1862</v>
      </c>
    </row>
    <row r="1420" spans="1:7" x14ac:dyDescent="0.25">
      <c r="A1420" s="69" t="s">
        <v>195</v>
      </c>
      <c r="B1420" s="71">
        <v>44926</v>
      </c>
      <c r="C1420">
        <v>-846</v>
      </c>
      <c r="D1420" t="s">
        <v>1845</v>
      </c>
      <c r="E1420" t="s">
        <v>1849</v>
      </c>
      <c r="F1420">
        <v>12</v>
      </c>
      <c r="G1420" t="s">
        <v>1863</v>
      </c>
    </row>
    <row r="1421" spans="1:7" x14ac:dyDescent="0.25">
      <c r="A1421" s="69" t="s">
        <v>201</v>
      </c>
      <c r="B1421" s="71">
        <v>42643</v>
      </c>
      <c r="C1421">
        <v>617</v>
      </c>
      <c r="D1421" t="s">
        <v>1839</v>
      </c>
      <c r="E1421" t="s">
        <v>1848</v>
      </c>
      <c r="F1421">
        <v>9</v>
      </c>
      <c r="G1421" t="s">
        <v>1862</v>
      </c>
    </row>
    <row r="1422" spans="1:7" x14ac:dyDescent="0.25">
      <c r="A1422" s="69" t="s">
        <v>201</v>
      </c>
      <c r="B1422" s="71">
        <v>42735</v>
      </c>
      <c r="C1422">
        <v>-617</v>
      </c>
      <c r="D1422" t="s">
        <v>1839</v>
      </c>
      <c r="E1422" t="s">
        <v>1849</v>
      </c>
      <c r="F1422">
        <v>12</v>
      </c>
      <c r="G1422" t="s">
        <v>1863</v>
      </c>
    </row>
    <row r="1423" spans="1:7" x14ac:dyDescent="0.25">
      <c r="A1423" s="69" t="s">
        <v>201</v>
      </c>
      <c r="B1423" s="71">
        <v>43555</v>
      </c>
      <c r="C1423">
        <v>9442</v>
      </c>
      <c r="D1423" t="s">
        <v>1842</v>
      </c>
      <c r="E1423" t="s">
        <v>1846</v>
      </c>
      <c r="F1423">
        <v>3</v>
      </c>
      <c r="G1423" t="s">
        <v>1860</v>
      </c>
    </row>
    <row r="1424" spans="1:7" x14ac:dyDescent="0.25">
      <c r="A1424" s="69" t="s">
        <v>201</v>
      </c>
      <c r="B1424" s="71">
        <v>43646</v>
      </c>
      <c r="C1424">
        <v>-9442</v>
      </c>
      <c r="D1424" t="s">
        <v>1842</v>
      </c>
      <c r="E1424" t="s">
        <v>1847</v>
      </c>
      <c r="F1424">
        <v>6</v>
      </c>
      <c r="G1424" t="s">
        <v>1861</v>
      </c>
    </row>
    <row r="1425" spans="1:7" x14ac:dyDescent="0.25">
      <c r="A1425" s="69" t="s">
        <v>201</v>
      </c>
      <c r="B1425" s="71">
        <v>43738</v>
      </c>
      <c r="C1425">
        <v>9087</v>
      </c>
      <c r="D1425" t="s">
        <v>1842</v>
      </c>
      <c r="E1425" t="s">
        <v>1848</v>
      </c>
      <c r="F1425">
        <v>9</v>
      </c>
      <c r="G1425" t="s">
        <v>1862</v>
      </c>
    </row>
    <row r="1426" spans="1:7" x14ac:dyDescent="0.25">
      <c r="A1426" s="69" t="s">
        <v>201</v>
      </c>
      <c r="B1426" s="71">
        <v>43830</v>
      </c>
      <c r="C1426">
        <v>-2529</v>
      </c>
      <c r="D1426" t="s">
        <v>1842</v>
      </c>
      <c r="E1426" t="s">
        <v>1849</v>
      </c>
      <c r="F1426">
        <v>12</v>
      </c>
      <c r="G1426" t="s">
        <v>1863</v>
      </c>
    </row>
    <row r="1427" spans="1:7" x14ac:dyDescent="0.25">
      <c r="A1427" s="69" t="s">
        <v>204</v>
      </c>
      <c r="B1427" s="71">
        <v>42643</v>
      </c>
      <c r="C1427">
        <v>617</v>
      </c>
      <c r="D1427" t="s">
        <v>1839</v>
      </c>
      <c r="E1427" t="s">
        <v>1848</v>
      </c>
      <c r="F1427">
        <v>9</v>
      </c>
      <c r="G1427" t="s">
        <v>1862</v>
      </c>
    </row>
    <row r="1428" spans="1:7" x14ac:dyDescent="0.25">
      <c r="A1428" s="69" t="s">
        <v>204</v>
      </c>
      <c r="B1428" s="71">
        <v>42735</v>
      </c>
      <c r="C1428">
        <v>-617</v>
      </c>
      <c r="D1428" t="s">
        <v>1839</v>
      </c>
      <c r="E1428" t="s">
        <v>1849</v>
      </c>
      <c r="F1428">
        <v>12</v>
      </c>
      <c r="G1428" t="s">
        <v>1863</v>
      </c>
    </row>
    <row r="1429" spans="1:7" x14ac:dyDescent="0.25">
      <c r="A1429" s="69" t="s">
        <v>204</v>
      </c>
      <c r="B1429" s="71">
        <v>43738</v>
      </c>
      <c r="C1429">
        <v>5616</v>
      </c>
      <c r="D1429" t="s">
        <v>1842</v>
      </c>
      <c r="E1429" t="s">
        <v>1848</v>
      </c>
      <c r="F1429">
        <v>9</v>
      </c>
      <c r="G1429" t="s">
        <v>1862</v>
      </c>
    </row>
    <row r="1430" spans="1:7" x14ac:dyDescent="0.25">
      <c r="A1430" s="69" t="s">
        <v>204</v>
      </c>
      <c r="B1430" s="71">
        <v>43830</v>
      </c>
      <c r="C1430">
        <v>-2529</v>
      </c>
      <c r="D1430" t="s">
        <v>1842</v>
      </c>
      <c r="E1430" t="s">
        <v>1849</v>
      </c>
      <c r="F1430">
        <v>12</v>
      </c>
      <c r="G1430" t="s">
        <v>1863</v>
      </c>
    </row>
    <row r="1431" spans="1:7" x14ac:dyDescent="0.25">
      <c r="A1431" s="69" t="s">
        <v>205</v>
      </c>
      <c r="B1431" s="71">
        <v>43555</v>
      </c>
      <c r="C1431">
        <v>5971</v>
      </c>
      <c r="D1431" t="s">
        <v>1842</v>
      </c>
      <c r="E1431" t="s">
        <v>1846</v>
      </c>
      <c r="F1431">
        <v>3</v>
      </c>
      <c r="G1431" t="s">
        <v>1860</v>
      </c>
    </row>
    <row r="1432" spans="1:7" x14ac:dyDescent="0.25">
      <c r="A1432" s="69" t="s">
        <v>205</v>
      </c>
      <c r="B1432" s="71">
        <v>43646</v>
      </c>
      <c r="C1432">
        <v>-5971</v>
      </c>
      <c r="D1432" t="s">
        <v>1842</v>
      </c>
      <c r="E1432" t="s">
        <v>1847</v>
      </c>
      <c r="F1432">
        <v>6</v>
      </c>
      <c r="G1432" t="s">
        <v>1861</v>
      </c>
    </row>
    <row r="1433" spans="1:7" x14ac:dyDescent="0.25">
      <c r="A1433" s="69" t="s">
        <v>213</v>
      </c>
      <c r="B1433" s="71">
        <v>43555</v>
      </c>
      <c r="C1433">
        <v>3471</v>
      </c>
      <c r="D1433" t="s">
        <v>1842</v>
      </c>
      <c r="E1433" t="s">
        <v>1846</v>
      </c>
      <c r="F1433">
        <v>3</v>
      </c>
      <c r="G1433" t="s">
        <v>1860</v>
      </c>
    </row>
    <row r="1434" spans="1:7" x14ac:dyDescent="0.25">
      <c r="A1434" s="69" t="s">
        <v>213</v>
      </c>
      <c r="B1434" s="71">
        <v>43646</v>
      </c>
      <c r="C1434">
        <v>-3471</v>
      </c>
      <c r="D1434" t="s">
        <v>1842</v>
      </c>
      <c r="E1434" t="s">
        <v>1847</v>
      </c>
      <c r="F1434">
        <v>6</v>
      </c>
      <c r="G1434" t="s">
        <v>1861</v>
      </c>
    </row>
    <row r="1435" spans="1:7" x14ac:dyDescent="0.25">
      <c r="A1435" s="69" t="s">
        <v>213</v>
      </c>
      <c r="B1435" s="71">
        <v>43738</v>
      </c>
      <c r="C1435">
        <v>3471</v>
      </c>
      <c r="D1435" t="s">
        <v>1842</v>
      </c>
      <c r="E1435" t="s">
        <v>1848</v>
      </c>
      <c r="F1435">
        <v>9</v>
      </c>
      <c r="G1435" t="s">
        <v>1862</v>
      </c>
    </row>
    <row r="1436" spans="1:7" x14ac:dyDescent="0.25">
      <c r="A1436" s="69" t="s">
        <v>214</v>
      </c>
      <c r="B1436" s="71">
        <v>42460</v>
      </c>
      <c r="C1436">
        <v>-10017</v>
      </c>
      <c r="D1436" t="s">
        <v>1839</v>
      </c>
      <c r="E1436" t="s">
        <v>1846</v>
      </c>
      <c r="F1436">
        <v>3</v>
      </c>
      <c r="G1436" t="s">
        <v>1860</v>
      </c>
    </row>
    <row r="1437" spans="1:7" x14ac:dyDescent="0.25">
      <c r="A1437" s="69" t="s">
        <v>214</v>
      </c>
      <c r="B1437" s="71">
        <v>42551</v>
      </c>
      <c r="C1437">
        <v>-13847</v>
      </c>
      <c r="D1437" t="s">
        <v>1839</v>
      </c>
      <c r="E1437" t="s">
        <v>1847</v>
      </c>
      <c r="F1437">
        <v>6</v>
      </c>
      <c r="G1437" t="s">
        <v>1861</v>
      </c>
    </row>
    <row r="1438" spans="1:7" x14ac:dyDescent="0.25">
      <c r="A1438" s="69" t="s">
        <v>214</v>
      </c>
      <c r="B1438" s="71">
        <v>42643</v>
      </c>
      <c r="C1438">
        <v>-8473</v>
      </c>
      <c r="D1438" t="s">
        <v>1839</v>
      </c>
      <c r="E1438" t="s">
        <v>1848</v>
      </c>
      <c r="F1438">
        <v>9</v>
      </c>
      <c r="G1438" t="s">
        <v>1862</v>
      </c>
    </row>
    <row r="1439" spans="1:7" x14ac:dyDescent="0.25">
      <c r="A1439" s="69" t="s">
        <v>214</v>
      </c>
      <c r="B1439" s="71">
        <v>42735</v>
      </c>
      <c r="C1439">
        <v>-8653</v>
      </c>
      <c r="D1439" t="s">
        <v>1839</v>
      </c>
      <c r="E1439" t="s">
        <v>1849</v>
      </c>
      <c r="F1439">
        <v>12</v>
      </c>
      <c r="G1439" t="s">
        <v>1863</v>
      </c>
    </row>
    <row r="1440" spans="1:7" x14ac:dyDescent="0.25">
      <c r="A1440" s="69" t="s">
        <v>214</v>
      </c>
      <c r="B1440" s="71">
        <v>42825</v>
      </c>
      <c r="C1440">
        <v>-6431</v>
      </c>
      <c r="D1440" t="s">
        <v>1840</v>
      </c>
      <c r="E1440" t="s">
        <v>1846</v>
      </c>
      <c r="F1440">
        <v>3</v>
      </c>
      <c r="G1440" t="s">
        <v>1860</v>
      </c>
    </row>
    <row r="1441" spans="1:7" x14ac:dyDescent="0.25">
      <c r="A1441" s="69" t="s">
        <v>214</v>
      </c>
      <c r="B1441" s="71">
        <v>42916</v>
      </c>
      <c r="C1441">
        <v>-7077</v>
      </c>
      <c r="D1441" t="s">
        <v>1840</v>
      </c>
      <c r="E1441" t="s">
        <v>1847</v>
      </c>
      <c r="F1441">
        <v>6</v>
      </c>
      <c r="G1441" t="s">
        <v>1861</v>
      </c>
    </row>
    <row r="1442" spans="1:7" x14ac:dyDescent="0.25">
      <c r="A1442" s="69" t="s">
        <v>214</v>
      </c>
      <c r="B1442" s="71">
        <v>43008</v>
      </c>
      <c r="C1442">
        <v>-7050</v>
      </c>
      <c r="D1442" t="s">
        <v>1840</v>
      </c>
      <c r="E1442" t="s">
        <v>1848</v>
      </c>
      <c r="F1442">
        <v>9</v>
      </c>
      <c r="G1442" t="s">
        <v>1862</v>
      </c>
    </row>
    <row r="1443" spans="1:7" x14ac:dyDescent="0.25">
      <c r="A1443" s="69" t="s">
        <v>214</v>
      </c>
      <c r="B1443" s="71">
        <v>43100</v>
      </c>
      <c r="C1443">
        <v>-16138</v>
      </c>
      <c r="D1443" t="s">
        <v>1840</v>
      </c>
      <c r="E1443" t="s">
        <v>1849</v>
      </c>
      <c r="F1443">
        <v>12</v>
      </c>
      <c r="G1443" t="s">
        <v>1863</v>
      </c>
    </row>
    <row r="1444" spans="1:7" x14ac:dyDescent="0.25">
      <c r="A1444" s="69" t="s">
        <v>214</v>
      </c>
      <c r="B1444" s="71">
        <v>43190</v>
      </c>
      <c r="C1444">
        <v>-10560</v>
      </c>
      <c r="D1444" t="s">
        <v>1841</v>
      </c>
      <c r="E1444" t="s">
        <v>1846</v>
      </c>
      <c r="F1444">
        <v>3</v>
      </c>
      <c r="G1444" t="s">
        <v>1860</v>
      </c>
    </row>
    <row r="1445" spans="1:7" x14ac:dyDescent="0.25">
      <c r="A1445" s="69" t="s">
        <v>214</v>
      </c>
      <c r="B1445" s="71">
        <v>43281</v>
      </c>
      <c r="C1445">
        <v>-10096</v>
      </c>
      <c r="D1445" t="s">
        <v>1841</v>
      </c>
      <c r="E1445" t="s">
        <v>1847</v>
      </c>
      <c r="F1445">
        <v>6</v>
      </c>
      <c r="G1445" t="s">
        <v>1861</v>
      </c>
    </row>
    <row r="1446" spans="1:7" x14ac:dyDescent="0.25">
      <c r="A1446" s="69" t="s">
        <v>214</v>
      </c>
      <c r="B1446" s="71">
        <v>43373</v>
      </c>
      <c r="C1446">
        <v>-10048</v>
      </c>
      <c r="D1446" t="s">
        <v>1841</v>
      </c>
      <c r="E1446" t="s">
        <v>1848</v>
      </c>
      <c r="F1446">
        <v>9</v>
      </c>
      <c r="G1446" t="s">
        <v>1862</v>
      </c>
    </row>
    <row r="1447" spans="1:7" x14ac:dyDescent="0.25">
      <c r="A1447" s="69" t="s">
        <v>214</v>
      </c>
      <c r="B1447" s="71">
        <v>43465</v>
      </c>
      <c r="C1447">
        <v>-6663</v>
      </c>
      <c r="D1447" t="s">
        <v>1841</v>
      </c>
      <c r="E1447" t="s">
        <v>1849</v>
      </c>
      <c r="F1447">
        <v>12</v>
      </c>
      <c r="G1447" t="s">
        <v>1863</v>
      </c>
    </row>
    <row r="1448" spans="1:7" x14ac:dyDescent="0.25">
      <c r="A1448" s="69" t="s">
        <v>214</v>
      </c>
      <c r="B1448" s="71">
        <v>43555</v>
      </c>
      <c r="C1448">
        <v>-3644</v>
      </c>
      <c r="D1448" t="s">
        <v>1842</v>
      </c>
      <c r="E1448" t="s">
        <v>1846</v>
      </c>
      <c r="F1448">
        <v>3</v>
      </c>
      <c r="G1448" t="s">
        <v>1860</v>
      </c>
    </row>
    <row r="1449" spans="1:7" x14ac:dyDescent="0.25">
      <c r="A1449" s="69" t="s">
        <v>214</v>
      </c>
      <c r="B1449" s="71">
        <v>43646</v>
      </c>
      <c r="C1449">
        <v>-2140</v>
      </c>
      <c r="D1449" t="s">
        <v>1842</v>
      </c>
      <c r="E1449" t="s">
        <v>1847</v>
      </c>
      <c r="F1449">
        <v>6</v>
      </c>
      <c r="G1449" t="s">
        <v>1861</v>
      </c>
    </row>
    <row r="1450" spans="1:7" x14ac:dyDescent="0.25">
      <c r="A1450" s="69" t="s">
        <v>214</v>
      </c>
      <c r="B1450" s="71">
        <v>43738</v>
      </c>
      <c r="C1450">
        <v>-8871</v>
      </c>
      <c r="D1450" t="s">
        <v>1842</v>
      </c>
      <c r="E1450" t="s">
        <v>1848</v>
      </c>
      <c r="F1450">
        <v>9</v>
      </c>
      <c r="G1450" t="s">
        <v>1862</v>
      </c>
    </row>
    <row r="1451" spans="1:7" x14ac:dyDescent="0.25">
      <c r="A1451" s="69" t="s">
        <v>214</v>
      </c>
      <c r="B1451" s="71">
        <v>43830</v>
      </c>
      <c r="C1451">
        <v>-34189</v>
      </c>
      <c r="D1451" t="s">
        <v>1842</v>
      </c>
      <c r="E1451" t="s">
        <v>1849</v>
      </c>
      <c r="F1451">
        <v>12</v>
      </c>
      <c r="G1451" t="s">
        <v>1863</v>
      </c>
    </row>
    <row r="1452" spans="1:7" x14ac:dyDescent="0.25">
      <c r="A1452" s="69" t="s">
        <v>214</v>
      </c>
      <c r="B1452" s="71">
        <v>43921</v>
      </c>
      <c r="C1452">
        <v>-6382</v>
      </c>
      <c r="D1452" t="s">
        <v>1843</v>
      </c>
      <c r="E1452" t="s">
        <v>1846</v>
      </c>
      <c r="F1452">
        <v>3</v>
      </c>
      <c r="G1452" t="s">
        <v>1860</v>
      </c>
    </row>
    <row r="1453" spans="1:7" x14ac:dyDescent="0.25">
      <c r="A1453" s="69" t="s">
        <v>214</v>
      </c>
      <c r="B1453" s="71">
        <v>44012</v>
      </c>
      <c r="C1453">
        <v>713</v>
      </c>
      <c r="D1453" t="s">
        <v>1843</v>
      </c>
      <c r="E1453" t="s">
        <v>1847</v>
      </c>
      <c r="F1453">
        <v>6</v>
      </c>
      <c r="G1453" t="s">
        <v>1861</v>
      </c>
    </row>
    <row r="1454" spans="1:7" x14ac:dyDescent="0.25">
      <c r="A1454" s="69" t="s">
        <v>214</v>
      </c>
      <c r="B1454" s="71">
        <v>44104</v>
      </c>
      <c r="C1454">
        <v>-597</v>
      </c>
      <c r="D1454" t="s">
        <v>1843</v>
      </c>
      <c r="E1454" t="s">
        <v>1848</v>
      </c>
      <c r="F1454">
        <v>9</v>
      </c>
      <c r="G1454" t="s">
        <v>1862</v>
      </c>
    </row>
    <row r="1455" spans="1:7" x14ac:dyDescent="0.25">
      <c r="A1455" s="69" t="s">
        <v>214</v>
      </c>
      <c r="B1455" s="71">
        <v>44196</v>
      </c>
      <c r="C1455">
        <v>-1131</v>
      </c>
      <c r="D1455" t="s">
        <v>1843</v>
      </c>
      <c r="E1455" t="s">
        <v>1849</v>
      </c>
      <c r="F1455">
        <v>12</v>
      </c>
      <c r="G1455" t="s">
        <v>1863</v>
      </c>
    </row>
    <row r="1456" spans="1:7" x14ac:dyDescent="0.25">
      <c r="A1456" s="69" t="s">
        <v>214</v>
      </c>
      <c r="B1456" s="71">
        <v>44286</v>
      </c>
      <c r="C1456">
        <v>-807</v>
      </c>
      <c r="D1456" t="s">
        <v>1844</v>
      </c>
      <c r="E1456" t="s">
        <v>1846</v>
      </c>
      <c r="F1456">
        <v>3</v>
      </c>
      <c r="G1456" t="s">
        <v>1860</v>
      </c>
    </row>
    <row r="1457" spans="1:7" x14ac:dyDescent="0.25">
      <c r="A1457" s="69" t="s">
        <v>214</v>
      </c>
      <c r="B1457" s="71">
        <v>44377</v>
      </c>
      <c r="C1457">
        <v>-1459</v>
      </c>
      <c r="D1457" t="s">
        <v>1844</v>
      </c>
      <c r="E1457" t="s">
        <v>1847</v>
      </c>
      <c r="F1457">
        <v>6</v>
      </c>
      <c r="G1457" t="s">
        <v>1861</v>
      </c>
    </row>
    <row r="1458" spans="1:7" x14ac:dyDescent="0.25">
      <c r="A1458" s="69" t="s">
        <v>214</v>
      </c>
      <c r="B1458" s="71">
        <v>44469</v>
      </c>
      <c r="C1458">
        <v>-1782</v>
      </c>
      <c r="D1458" t="s">
        <v>1844</v>
      </c>
      <c r="E1458" t="s">
        <v>1848</v>
      </c>
      <c r="F1458">
        <v>9</v>
      </c>
      <c r="G1458" t="s">
        <v>1862</v>
      </c>
    </row>
    <row r="1459" spans="1:7" x14ac:dyDescent="0.25">
      <c r="A1459" s="69" t="s">
        <v>214</v>
      </c>
      <c r="B1459" s="71">
        <v>44561</v>
      </c>
      <c r="C1459">
        <v>-2983</v>
      </c>
      <c r="D1459" t="s">
        <v>1844</v>
      </c>
      <c r="E1459" t="s">
        <v>1849</v>
      </c>
      <c r="F1459">
        <v>12</v>
      </c>
      <c r="G1459" t="s">
        <v>1863</v>
      </c>
    </row>
    <row r="1460" spans="1:7" x14ac:dyDescent="0.25">
      <c r="A1460" s="69" t="s">
        <v>214</v>
      </c>
      <c r="B1460" s="71">
        <v>44651</v>
      </c>
      <c r="C1460">
        <v>-1231</v>
      </c>
      <c r="D1460" t="s">
        <v>1845</v>
      </c>
      <c r="E1460" t="s">
        <v>1846</v>
      </c>
      <c r="F1460">
        <v>3</v>
      </c>
      <c r="G1460" t="s">
        <v>1860</v>
      </c>
    </row>
    <row r="1461" spans="1:7" x14ac:dyDescent="0.25">
      <c r="A1461" s="69" t="s">
        <v>214</v>
      </c>
      <c r="B1461" s="71">
        <v>44742</v>
      </c>
      <c r="C1461">
        <v>-6341</v>
      </c>
      <c r="D1461" t="s">
        <v>1845</v>
      </c>
      <c r="E1461" t="s">
        <v>1847</v>
      </c>
      <c r="F1461">
        <v>6</v>
      </c>
      <c r="G1461" t="s">
        <v>1861</v>
      </c>
    </row>
    <row r="1462" spans="1:7" x14ac:dyDescent="0.25">
      <c r="A1462" s="69" t="s">
        <v>214</v>
      </c>
      <c r="B1462" s="71">
        <v>44834</v>
      </c>
      <c r="C1462">
        <v>984</v>
      </c>
      <c r="D1462" t="s">
        <v>1845</v>
      </c>
      <c r="E1462" t="s">
        <v>1848</v>
      </c>
      <c r="F1462">
        <v>9</v>
      </c>
      <c r="G1462" t="s">
        <v>1862</v>
      </c>
    </row>
    <row r="1463" spans="1:7" x14ac:dyDescent="0.25">
      <c r="A1463" s="69" t="s">
        <v>214</v>
      </c>
      <c r="B1463" s="71">
        <v>44926</v>
      </c>
      <c r="C1463">
        <v>-4452</v>
      </c>
      <c r="D1463" t="s">
        <v>1845</v>
      </c>
      <c r="E1463" t="s">
        <v>1849</v>
      </c>
      <c r="F1463">
        <v>12</v>
      </c>
      <c r="G1463" t="s">
        <v>1863</v>
      </c>
    </row>
    <row r="1464" spans="1:7" x14ac:dyDescent="0.25">
      <c r="A1464" s="69" t="s">
        <v>215</v>
      </c>
      <c r="B1464" s="71">
        <v>43190</v>
      </c>
      <c r="C1464">
        <v>-1211</v>
      </c>
      <c r="D1464" t="s">
        <v>1841</v>
      </c>
      <c r="E1464" t="s">
        <v>1846</v>
      </c>
      <c r="F1464">
        <v>3</v>
      </c>
      <c r="G1464" t="s">
        <v>1860</v>
      </c>
    </row>
    <row r="1465" spans="1:7" x14ac:dyDescent="0.25">
      <c r="A1465" s="69" t="s">
        <v>215</v>
      </c>
      <c r="B1465" s="71">
        <v>43281</v>
      </c>
      <c r="C1465">
        <v>1211</v>
      </c>
      <c r="D1465" t="s">
        <v>1841</v>
      </c>
      <c r="E1465" t="s">
        <v>1847</v>
      </c>
      <c r="F1465">
        <v>6</v>
      </c>
      <c r="G1465" t="s">
        <v>1861</v>
      </c>
    </row>
    <row r="1466" spans="1:7" x14ac:dyDescent="0.25">
      <c r="A1466" s="69" t="s">
        <v>217</v>
      </c>
      <c r="B1466" s="71">
        <v>43373</v>
      </c>
      <c r="C1466">
        <v>-2586</v>
      </c>
      <c r="D1466" t="s">
        <v>1841</v>
      </c>
      <c r="E1466" t="s">
        <v>1848</v>
      </c>
      <c r="F1466">
        <v>9</v>
      </c>
      <c r="G1466" t="s">
        <v>1862</v>
      </c>
    </row>
    <row r="1467" spans="1:7" x14ac:dyDescent="0.25">
      <c r="A1467" s="69" t="s">
        <v>217</v>
      </c>
      <c r="B1467" s="71">
        <v>43465</v>
      </c>
      <c r="C1467">
        <v>-1113</v>
      </c>
      <c r="D1467" t="s">
        <v>1841</v>
      </c>
      <c r="E1467" t="s">
        <v>1849</v>
      </c>
      <c r="F1467">
        <v>12</v>
      </c>
      <c r="G1467" t="s">
        <v>1863</v>
      </c>
    </row>
    <row r="1468" spans="1:7" x14ac:dyDescent="0.25">
      <c r="A1468" s="69" t="s">
        <v>217</v>
      </c>
      <c r="B1468" s="71">
        <v>43738</v>
      </c>
      <c r="C1468">
        <v>-2529</v>
      </c>
      <c r="D1468" t="s">
        <v>1842</v>
      </c>
      <c r="E1468" t="s">
        <v>1848</v>
      </c>
      <c r="F1468">
        <v>9</v>
      </c>
      <c r="G1468" t="s">
        <v>1862</v>
      </c>
    </row>
    <row r="1469" spans="1:7" x14ac:dyDescent="0.25">
      <c r="A1469" s="69" t="s">
        <v>217</v>
      </c>
      <c r="B1469" s="71">
        <v>43830</v>
      </c>
      <c r="C1469">
        <v>2529</v>
      </c>
      <c r="D1469" t="s">
        <v>1842</v>
      </c>
      <c r="E1469" t="s">
        <v>1849</v>
      </c>
      <c r="F1469">
        <v>12</v>
      </c>
      <c r="G1469" t="s">
        <v>1863</v>
      </c>
    </row>
    <row r="1470" spans="1:7" x14ac:dyDescent="0.25">
      <c r="A1470" s="69" t="s">
        <v>217</v>
      </c>
      <c r="B1470" s="71">
        <v>43921</v>
      </c>
      <c r="C1470">
        <v>-2052</v>
      </c>
      <c r="D1470" t="s">
        <v>1843</v>
      </c>
      <c r="E1470" t="s">
        <v>1846</v>
      </c>
      <c r="F1470">
        <v>3</v>
      </c>
      <c r="G1470" t="s">
        <v>1860</v>
      </c>
    </row>
    <row r="1471" spans="1:7" x14ac:dyDescent="0.25">
      <c r="A1471" s="69" t="s">
        <v>217</v>
      </c>
      <c r="B1471" s="71">
        <v>44012</v>
      </c>
      <c r="C1471">
        <v>1712</v>
      </c>
      <c r="D1471" t="s">
        <v>1843</v>
      </c>
      <c r="E1471" t="s">
        <v>1847</v>
      </c>
      <c r="F1471">
        <v>6</v>
      </c>
      <c r="G1471" t="s">
        <v>1861</v>
      </c>
    </row>
    <row r="1472" spans="1:7" x14ac:dyDescent="0.25">
      <c r="A1472" s="69" t="s">
        <v>221</v>
      </c>
      <c r="B1472" s="71">
        <v>42460</v>
      </c>
      <c r="C1472">
        <v>-7901</v>
      </c>
      <c r="D1472" t="s">
        <v>1839</v>
      </c>
      <c r="E1472" t="s">
        <v>1846</v>
      </c>
      <c r="F1472">
        <v>3</v>
      </c>
      <c r="G1472" t="s">
        <v>1860</v>
      </c>
    </row>
    <row r="1473" spans="1:7" x14ac:dyDescent="0.25">
      <c r="A1473" s="69" t="s">
        <v>221</v>
      </c>
      <c r="B1473" s="71">
        <v>42551</v>
      </c>
      <c r="C1473">
        <v>-9992</v>
      </c>
      <c r="D1473" t="s">
        <v>1839</v>
      </c>
      <c r="E1473" t="s">
        <v>1847</v>
      </c>
      <c r="F1473">
        <v>6</v>
      </c>
      <c r="G1473" t="s">
        <v>1861</v>
      </c>
    </row>
    <row r="1474" spans="1:7" x14ac:dyDescent="0.25">
      <c r="A1474" s="69" t="s">
        <v>221</v>
      </c>
      <c r="B1474" s="71">
        <v>42643</v>
      </c>
      <c r="C1474">
        <v>-8716</v>
      </c>
      <c r="D1474" t="s">
        <v>1839</v>
      </c>
      <c r="E1474" t="s">
        <v>1848</v>
      </c>
      <c r="F1474">
        <v>9</v>
      </c>
      <c r="G1474" t="s">
        <v>1862</v>
      </c>
    </row>
    <row r="1475" spans="1:7" x14ac:dyDescent="0.25">
      <c r="A1475" s="69" t="s">
        <v>221</v>
      </c>
      <c r="B1475" s="71">
        <v>42735</v>
      </c>
      <c r="C1475">
        <v>-14381</v>
      </c>
      <c r="D1475" t="s">
        <v>1839</v>
      </c>
      <c r="E1475" t="s">
        <v>1849</v>
      </c>
      <c r="F1475">
        <v>12</v>
      </c>
      <c r="G1475" t="s">
        <v>1863</v>
      </c>
    </row>
    <row r="1476" spans="1:7" x14ac:dyDescent="0.25">
      <c r="A1476" s="69" t="s">
        <v>221</v>
      </c>
      <c r="B1476" s="71">
        <v>42825</v>
      </c>
      <c r="C1476">
        <v>-6431</v>
      </c>
      <c r="D1476" t="s">
        <v>1840</v>
      </c>
      <c r="E1476" t="s">
        <v>1846</v>
      </c>
      <c r="F1476">
        <v>3</v>
      </c>
      <c r="G1476" t="s">
        <v>1860</v>
      </c>
    </row>
    <row r="1477" spans="1:7" x14ac:dyDescent="0.25">
      <c r="A1477" s="69" t="s">
        <v>221</v>
      </c>
      <c r="B1477" s="71">
        <v>42916</v>
      </c>
      <c r="C1477">
        <v>-5925</v>
      </c>
      <c r="D1477" t="s">
        <v>1840</v>
      </c>
      <c r="E1477" t="s">
        <v>1847</v>
      </c>
      <c r="F1477">
        <v>6</v>
      </c>
      <c r="G1477" t="s">
        <v>1861</v>
      </c>
    </row>
    <row r="1478" spans="1:7" x14ac:dyDescent="0.25">
      <c r="A1478" s="69" t="s">
        <v>221</v>
      </c>
      <c r="B1478" s="71">
        <v>43008</v>
      </c>
      <c r="C1478">
        <v>-8202</v>
      </c>
      <c r="D1478" t="s">
        <v>1840</v>
      </c>
      <c r="E1478" t="s">
        <v>1848</v>
      </c>
      <c r="F1478">
        <v>9</v>
      </c>
      <c r="G1478" t="s">
        <v>1862</v>
      </c>
    </row>
    <row r="1479" spans="1:7" x14ac:dyDescent="0.25">
      <c r="A1479" s="69" t="s">
        <v>221</v>
      </c>
      <c r="B1479" s="71">
        <v>43100</v>
      </c>
      <c r="C1479">
        <v>-13466</v>
      </c>
      <c r="D1479" t="s">
        <v>1840</v>
      </c>
      <c r="E1479" t="s">
        <v>1849</v>
      </c>
      <c r="F1479">
        <v>12</v>
      </c>
      <c r="G1479" t="s">
        <v>1863</v>
      </c>
    </row>
    <row r="1480" spans="1:7" x14ac:dyDescent="0.25">
      <c r="A1480" s="69" t="s">
        <v>221</v>
      </c>
      <c r="B1480" s="71">
        <v>43190</v>
      </c>
      <c r="C1480">
        <v>-6212</v>
      </c>
      <c r="D1480" t="s">
        <v>1841</v>
      </c>
      <c r="E1480" t="s">
        <v>1846</v>
      </c>
      <c r="F1480">
        <v>3</v>
      </c>
      <c r="G1480" t="s">
        <v>1860</v>
      </c>
    </row>
    <row r="1481" spans="1:7" x14ac:dyDescent="0.25">
      <c r="A1481" s="69" t="s">
        <v>221</v>
      </c>
      <c r="B1481" s="71">
        <v>43281</v>
      </c>
      <c r="C1481">
        <v>-12090</v>
      </c>
      <c r="D1481" t="s">
        <v>1841</v>
      </c>
      <c r="E1481" t="s">
        <v>1847</v>
      </c>
      <c r="F1481">
        <v>6</v>
      </c>
      <c r="G1481" t="s">
        <v>1861</v>
      </c>
    </row>
    <row r="1482" spans="1:7" x14ac:dyDescent="0.25">
      <c r="A1482" s="69" t="s">
        <v>221</v>
      </c>
      <c r="B1482" s="71">
        <v>43373</v>
      </c>
      <c r="C1482">
        <v>-8089</v>
      </c>
      <c r="D1482" t="s">
        <v>1841</v>
      </c>
      <c r="E1482" t="s">
        <v>1848</v>
      </c>
      <c r="F1482">
        <v>9</v>
      </c>
      <c r="G1482" t="s">
        <v>1862</v>
      </c>
    </row>
    <row r="1483" spans="1:7" x14ac:dyDescent="0.25">
      <c r="A1483" s="69" t="s">
        <v>221</v>
      </c>
      <c r="B1483" s="71">
        <v>43465</v>
      </c>
      <c r="C1483">
        <v>-6070</v>
      </c>
      <c r="D1483" t="s">
        <v>1841</v>
      </c>
      <c r="E1483" t="s">
        <v>1849</v>
      </c>
      <c r="F1483">
        <v>12</v>
      </c>
      <c r="G1483" t="s">
        <v>1863</v>
      </c>
    </row>
    <row r="1484" spans="1:7" x14ac:dyDescent="0.25">
      <c r="A1484" s="69" t="s">
        <v>221</v>
      </c>
      <c r="B1484" s="71">
        <v>43555</v>
      </c>
      <c r="C1484">
        <v>-3644</v>
      </c>
      <c r="D1484" t="s">
        <v>1842</v>
      </c>
      <c r="E1484" t="s">
        <v>1846</v>
      </c>
      <c r="F1484">
        <v>3</v>
      </c>
      <c r="G1484" t="s">
        <v>1860</v>
      </c>
    </row>
    <row r="1485" spans="1:7" x14ac:dyDescent="0.25">
      <c r="A1485" s="69" t="s">
        <v>221</v>
      </c>
      <c r="B1485" s="71">
        <v>43646</v>
      </c>
      <c r="C1485">
        <v>-1286</v>
      </c>
      <c r="D1485" t="s">
        <v>1842</v>
      </c>
      <c r="E1485" t="s">
        <v>1847</v>
      </c>
      <c r="F1485">
        <v>6</v>
      </c>
      <c r="G1485" t="s">
        <v>1861</v>
      </c>
    </row>
    <row r="1486" spans="1:7" x14ac:dyDescent="0.25">
      <c r="A1486" s="69" t="s">
        <v>221</v>
      </c>
      <c r="B1486" s="71">
        <v>43738</v>
      </c>
      <c r="C1486">
        <v>-4694</v>
      </c>
      <c r="D1486" t="s">
        <v>1842</v>
      </c>
      <c r="E1486" t="s">
        <v>1848</v>
      </c>
      <c r="F1486">
        <v>9</v>
      </c>
      <c r="G1486" t="s">
        <v>1862</v>
      </c>
    </row>
    <row r="1487" spans="1:7" x14ac:dyDescent="0.25">
      <c r="A1487" s="69" t="s">
        <v>221</v>
      </c>
      <c r="B1487" s="71">
        <v>43830</v>
      </c>
      <c r="C1487">
        <v>-2492</v>
      </c>
      <c r="D1487" t="s">
        <v>1842</v>
      </c>
      <c r="E1487" t="s">
        <v>1849</v>
      </c>
      <c r="F1487">
        <v>12</v>
      </c>
      <c r="G1487" t="s">
        <v>1863</v>
      </c>
    </row>
    <row r="1488" spans="1:7" x14ac:dyDescent="0.25">
      <c r="A1488" s="69" t="s">
        <v>221</v>
      </c>
      <c r="B1488" s="71">
        <v>43921</v>
      </c>
      <c r="C1488">
        <v>-4305</v>
      </c>
      <c r="D1488" t="s">
        <v>1843</v>
      </c>
      <c r="E1488" t="s">
        <v>1846</v>
      </c>
      <c r="F1488">
        <v>3</v>
      </c>
      <c r="G1488" t="s">
        <v>1860</v>
      </c>
    </row>
    <row r="1489" spans="1:7" x14ac:dyDescent="0.25">
      <c r="A1489" s="69" t="s">
        <v>221</v>
      </c>
      <c r="B1489" s="71">
        <v>44012</v>
      </c>
      <c r="C1489">
        <v>-924</v>
      </c>
      <c r="D1489" t="s">
        <v>1843</v>
      </c>
      <c r="E1489" t="s">
        <v>1847</v>
      </c>
      <c r="F1489">
        <v>6</v>
      </c>
      <c r="G1489" t="s">
        <v>1861</v>
      </c>
    </row>
    <row r="1490" spans="1:7" x14ac:dyDescent="0.25">
      <c r="A1490" s="69" t="s">
        <v>221</v>
      </c>
      <c r="B1490" s="71">
        <v>44104</v>
      </c>
      <c r="C1490">
        <v>-199</v>
      </c>
      <c r="D1490" t="s">
        <v>1843</v>
      </c>
      <c r="E1490" t="s">
        <v>1848</v>
      </c>
      <c r="F1490">
        <v>9</v>
      </c>
      <c r="G1490" t="s">
        <v>1862</v>
      </c>
    </row>
    <row r="1491" spans="1:7" x14ac:dyDescent="0.25">
      <c r="A1491" s="69" t="s">
        <v>221</v>
      </c>
      <c r="B1491" s="71">
        <v>44196</v>
      </c>
      <c r="C1491">
        <v>-873</v>
      </c>
      <c r="D1491" t="s">
        <v>1843</v>
      </c>
      <c r="E1491" t="s">
        <v>1849</v>
      </c>
      <c r="F1491">
        <v>12</v>
      </c>
      <c r="G1491" t="s">
        <v>1863</v>
      </c>
    </row>
    <row r="1492" spans="1:7" x14ac:dyDescent="0.25">
      <c r="A1492" s="69" t="s">
        <v>221</v>
      </c>
      <c r="B1492" s="71">
        <v>44286</v>
      </c>
      <c r="C1492">
        <v>-461</v>
      </c>
      <c r="D1492" t="s">
        <v>1844</v>
      </c>
      <c r="E1492" t="s">
        <v>1846</v>
      </c>
      <c r="F1492">
        <v>3</v>
      </c>
      <c r="G1492" t="s">
        <v>1860</v>
      </c>
    </row>
    <row r="1493" spans="1:7" x14ac:dyDescent="0.25">
      <c r="A1493" s="69" t="s">
        <v>221</v>
      </c>
      <c r="B1493" s="71">
        <v>44377</v>
      </c>
      <c r="C1493">
        <v>-1712</v>
      </c>
      <c r="D1493" t="s">
        <v>1844</v>
      </c>
      <c r="E1493" t="s">
        <v>1847</v>
      </c>
      <c r="F1493">
        <v>6</v>
      </c>
      <c r="G1493" t="s">
        <v>1861</v>
      </c>
    </row>
    <row r="1494" spans="1:7" x14ac:dyDescent="0.25">
      <c r="A1494" s="69" t="s">
        <v>221</v>
      </c>
      <c r="B1494" s="71">
        <v>44469</v>
      </c>
      <c r="C1494">
        <v>-1750</v>
      </c>
      <c r="D1494" t="s">
        <v>1844</v>
      </c>
      <c r="E1494" t="s">
        <v>1848</v>
      </c>
      <c r="F1494">
        <v>9</v>
      </c>
      <c r="G1494" t="s">
        <v>1862</v>
      </c>
    </row>
    <row r="1495" spans="1:7" x14ac:dyDescent="0.25">
      <c r="A1495" s="69" t="s">
        <v>221</v>
      </c>
      <c r="B1495" s="71">
        <v>44561</v>
      </c>
      <c r="C1495">
        <v>-2415</v>
      </c>
      <c r="D1495" t="s">
        <v>1844</v>
      </c>
      <c r="E1495" t="s">
        <v>1849</v>
      </c>
      <c r="F1495">
        <v>12</v>
      </c>
      <c r="G1495" t="s">
        <v>1863</v>
      </c>
    </row>
    <row r="1496" spans="1:7" x14ac:dyDescent="0.25">
      <c r="A1496" s="69" t="s">
        <v>221</v>
      </c>
      <c r="B1496" s="71">
        <v>44651</v>
      </c>
      <c r="C1496">
        <v>-1231</v>
      </c>
      <c r="D1496" t="s">
        <v>1845</v>
      </c>
      <c r="E1496" t="s">
        <v>1846</v>
      </c>
      <c r="F1496">
        <v>3</v>
      </c>
      <c r="G1496" t="s">
        <v>1860</v>
      </c>
    </row>
    <row r="1497" spans="1:7" x14ac:dyDescent="0.25">
      <c r="A1497" s="69" t="s">
        <v>221</v>
      </c>
      <c r="B1497" s="71">
        <v>44742</v>
      </c>
      <c r="C1497">
        <v>-2399</v>
      </c>
      <c r="D1497" t="s">
        <v>1845</v>
      </c>
      <c r="E1497" t="s">
        <v>1847</v>
      </c>
      <c r="F1497">
        <v>6</v>
      </c>
      <c r="G1497" t="s">
        <v>1861</v>
      </c>
    </row>
    <row r="1498" spans="1:7" x14ac:dyDescent="0.25">
      <c r="A1498" s="69" t="s">
        <v>221</v>
      </c>
      <c r="B1498" s="71">
        <v>44834</v>
      </c>
      <c r="C1498">
        <v>1006</v>
      </c>
      <c r="D1498" t="s">
        <v>1845</v>
      </c>
      <c r="E1498" t="s">
        <v>1848</v>
      </c>
      <c r="F1498">
        <v>9</v>
      </c>
      <c r="G1498" t="s">
        <v>1862</v>
      </c>
    </row>
    <row r="1499" spans="1:7" x14ac:dyDescent="0.25">
      <c r="A1499" s="69" t="s">
        <v>221</v>
      </c>
      <c r="B1499" s="71">
        <v>44926</v>
      </c>
      <c r="C1499">
        <v>-3451</v>
      </c>
      <c r="D1499" t="s">
        <v>1845</v>
      </c>
      <c r="E1499" t="s">
        <v>1849</v>
      </c>
      <c r="F1499">
        <v>12</v>
      </c>
      <c r="G1499" t="s">
        <v>1863</v>
      </c>
    </row>
    <row r="1500" spans="1:7" x14ac:dyDescent="0.25">
      <c r="A1500" s="69" t="s">
        <v>224</v>
      </c>
      <c r="B1500" s="71">
        <v>42460</v>
      </c>
      <c r="C1500">
        <v>-2116</v>
      </c>
      <c r="D1500" t="s">
        <v>1839</v>
      </c>
      <c r="E1500" t="s">
        <v>1846</v>
      </c>
      <c r="F1500">
        <v>3</v>
      </c>
      <c r="G1500" t="s">
        <v>1860</v>
      </c>
    </row>
    <row r="1501" spans="1:7" x14ac:dyDescent="0.25">
      <c r="A1501" s="69" t="s">
        <v>224</v>
      </c>
      <c r="B1501" s="71">
        <v>42551</v>
      </c>
      <c r="C1501">
        <v>-3855</v>
      </c>
      <c r="D1501" t="s">
        <v>1839</v>
      </c>
      <c r="E1501" t="s">
        <v>1847</v>
      </c>
      <c r="F1501">
        <v>6</v>
      </c>
      <c r="G1501" t="s">
        <v>1861</v>
      </c>
    </row>
    <row r="1502" spans="1:7" x14ac:dyDescent="0.25">
      <c r="A1502" s="69" t="s">
        <v>224</v>
      </c>
      <c r="B1502" s="71">
        <v>42643</v>
      </c>
      <c r="C1502">
        <v>243</v>
      </c>
      <c r="D1502" t="s">
        <v>1839</v>
      </c>
      <c r="E1502" t="s">
        <v>1848</v>
      </c>
      <c r="F1502">
        <v>9</v>
      </c>
      <c r="G1502" t="s">
        <v>1862</v>
      </c>
    </row>
    <row r="1503" spans="1:7" x14ac:dyDescent="0.25">
      <c r="A1503" s="69" t="s">
        <v>224</v>
      </c>
      <c r="B1503" s="71">
        <v>42735</v>
      </c>
      <c r="C1503">
        <v>5728</v>
      </c>
      <c r="D1503" t="s">
        <v>1839</v>
      </c>
      <c r="E1503" t="s">
        <v>1849</v>
      </c>
      <c r="F1503">
        <v>12</v>
      </c>
      <c r="G1503" t="s">
        <v>1863</v>
      </c>
    </row>
    <row r="1504" spans="1:7" x14ac:dyDescent="0.25">
      <c r="A1504" s="69" t="s">
        <v>224</v>
      </c>
      <c r="B1504" s="71">
        <v>43100</v>
      </c>
      <c r="C1504">
        <v>-2672</v>
      </c>
      <c r="D1504" t="s">
        <v>1840</v>
      </c>
      <c r="E1504" t="s">
        <v>1849</v>
      </c>
      <c r="F1504">
        <v>12</v>
      </c>
      <c r="G1504" t="s">
        <v>1863</v>
      </c>
    </row>
    <row r="1505" spans="1:7" x14ac:dyDescent="0.25">
      <c r="A1505" s="69" t="s">
        <v>224</v>
      </c>
      <c r="B1505" s="71">
        <v>43190</v>
      </c>
      <c r="C1505">
        <v>-3137</v>
      </c>
      <c r="D1505" t="s">
        <v>1841</v>
      </c>
      <c r="E1505" t="s">
        <v>1846</v>
      </c>
      <c r="F1505">
        <v>3</v>
      </c>
      <c r="G1505" t="s">
        <v>1860</v>
      </c>
    </row>
    <row r="1506" spans="1:7" x14ac:dyDescent="0.25">
      <c r="A1506" s="69" t="s">
        <v>224</v>
      </c>
      <c r="B1506" s="71">
        <v>43281</v>
      </c>
      <c r="C1506">
        <v>3137</v>
      </c>
      <c r="D1506" t="s">
        <v>1841</v>
      </c>
      <c r="E1506" t="s">
        <v>1847</v>
      </c>
      <c r="F1506">
        <v>6</v>
      </c>
      <c r="G1506" t="s">
        <v>1861</v>
      </c>
    </row>
    <row r="1507" spans="1:7" x14ac:dyDescent="0.25">
      <c r="A1507" s="69" t="s">
        <v>224</v>
      </c>
      <c r="B1507" s="71">
        <v>43373</v>
      </c>
      <c r="C1507">
        <v>-1727</v>
      </c>
      <c r="D1507" t="s">
        <v>1841</v>
      </c>
      <c r="E1507" t="s">
        <v>1848</v>
      </c>
      <c r="F1507">
        <v>9</v>
      </c>
      <c r="G1507" t="s">
        <v>1862</v>
      </c>
    </row>
    <row r="1508" spans="1:7" x14ac:dyDescent="0.25">
      <c r="A1508" s="69" t="s">
        <v>224</v>
      </c>
      <c r="B1508" s="71">
        <v>43465</v>
      </c>
      <c r="C1508">
        <v>520</v>
      </c>
      <c r="D1508" t="s">
        <v>1841</v>
      </c>
      <c r="E1508" t="s">
        <v>1849</v>
      </c>
      <c r="F1508">
        <v>12</v>
      </c>
      <c r="G1508" t="s">
        <v>1863</v>
      </c>
    </row>
    <row r="1509" spans="1:7" x14ac:dyDescent="0.25">
      <c r="A1509" s="69" t="s">
        <v>224</v>
      </c>
      <c r="B1509" s="71">
        <v>43646</v>
      </c>
      <c r="C1509">
        <v>-854</v>
      </c>
      <c r="D1509" t="s">
        <v>1842</v>
      </c>
      <c r="E1509" t="s">
        <v>1847</v>
      </c>
      <c r="F1509">
        <v>6</v>
      </c>
      <c r="G1509" t="s">
        <v>1861</v>
      </c>
    </row>
    <row r="1510" spans="1:7" x14ac:dyDescent="0.25">
      <c r="A1510" s="69" t="s">
        <v>224</v>
      </c>
      <c r="B1510" s="71">
        <v>43738</v>
      </c>
      <c r="C1510">
        <v>-1648</v>
      </c>
      <c r="D1510" t="s">
        <v>1842</v>
      </c>
      <c r="E1510" t="s">
        <v>1848</v>
      </c>
      <c r="F1510">
        <v>9</v>
      </c>
      <c r="G1510" t="s">
        <v>1862</v>
      </c>
    </row>
    <row r="1511" spans="1:7" x14ac:dyDescent="0.25">
      <c r="A1511" s="69" t="s">
        <v>224</v>
      </c>
      <c r="B1511" s="71">
        <v>43830</v>
      </c>
      <c r="C1511">
        <v>-34226</v>
      </c>
      <c r="D1511" t="s">
        <v>1842</v>
      </c>
      <c r="E1511" t="s">
        <v>1849</v>
      </c>
      <c r="F1511">
        <v>12</v>
      </c>
      <c r="G1511" t="s">
        <v>1863</v>
      </c>
    </row>
    <row r="1512" spans="1:7" x14ac:dyDescent="0.25">
      <c r="A1512" s="69" t="s">
        <v>224</v>
      </c>
      <c r="B1512" s="71">
        <v>43921</v>
      </c>
      <c r="C1512">
        <v>-25</v>
      </c>
      <c r="D1512" t="s">
        <v>1843</v>
      </c>
      <c r="E1512" t="s">
        <v>1846</v>
      </c>
      <c r="F1512">
        <v>3</v>
      </c>
      <c r="G1512" t="s">
        <v>1860</v>
      </c>
    </row>
    <row r="1513" spans="1:7" x14ac:dyDescent="0.25">
      <c r="A1513" s="69" t="s">
        <v>224</v>
      </c>
      <c r="B1513" s="71">
        <v>44012</v>
      </c>
      <c r="C1513">
        <v>-75</v>
      </c>
      <c r="D1513" t="s">
        <v>1843</v>
      </c>
      <c r="E1513" t="s">
        <v>1847</v>
      </c>
      <c r="F1513">
        <v>6</v>
      </c>
      <c r="G1513" t="s">
        <v>1861</v>
      </c>
    </row>
    <row r="1514" spans="1:7" x14ac:dyDescent="0.25">
      <c r="A1514" s="69" t="s">
        <v>224</v>
      </c>
      <c r="B1514" s="71">
        <v>44104</v>
      </c>
      <c r="C1514">
        <v>-398</v>
      </c>
      <c r="D1514" t="s">
        <v>1843</v>
      </c>
      <c r="E1514" t="s">
        <v>1848</v>
      </c>
      <c r="F1514">
        <v>9</v>
      </c>
      <c r="G1514" t="s">
        <v>1862</v>
      </c>
    </row>
    <row r="1515" spans="1:7" x14ac:dyDescent="0.25">
      <c r="A1515" s="69" t="s">
        <v>224</v>
      </c>
      <c r="B1515" s="71">
        <v>44196</v>
      </c>
      <c r="C1515">
        <v>-258</v>
      </c>
      <c r="D1515" t="s">
        <v>1843</v>
      </c>
      <c r="E1515" t="s">
        <v>1849</v>
      </c>
      <c r="F1515">
        <v>12</v>
      </c>
      <c r="G1515" t="s">
        <v>1863</v>
      </c>
    </row>
    <row r="1516" spans="1:7" x14ac:dyDescent="0.25">
      <c r="A1516" s="69" t="s">
        <v>224</v>
      </c>
      <c r="B1516" s="71">
        <v>44286</v>
      </c>
      <c r="C1516">
        <v>-346</v>
      </c>
      <c r="D1516" t="s">
        <v>1844</v>
      </c>
      <c r="E1516" t="s">
        <v>1846</v>
      </c>
      <c r="F1516">
        <v>3</v>
      </c>
      <c r="G1516" t="s">
        <v>1860</v>
      </c>
    </row>
    <row r="1517" spans="1:7" x14ac:dyDescent="0.25">
      <c r="A1517" s="69" t="s">
        <v>224</v>
      </c>
      <c r="B1517" s="71">
        <v>44377</v>
      </c>
      <c r="C1517">
        <v>253</v>
      </c>
      <c r="D1517" t="s">
        <v>1844</v>
      </c>
      <c r="E1517" t="s">
        <v>1847</v>
      </c>
      <c r="F1517">
        <v>6</v>
      </c>
      <c r="G1517" t="s">
        <v>1861</v>
      </c>
    </row>
    <row r="1518" spans="1:7" x14ac:dyDescent="0.25">
      <c r="A1518" s="69" t="s">
        <v>224</v>
      </c>
      <c r="B1518" s="71">
        <v>44469</v>
      </c>
      <c r="C1518">
        <v>-32</v>
      </c>
      <c r="D1518" t="s">
        <v>1844</v>
      </c>
      <c r="E1518" t="s">
        <v>1848</v>
      </c>
      <c r="F1518">
        <v>9</v>
      </c>
      <c r="G1518" t="s">
        <v>1862</v>
      </c>
    </row>
    <row r="1519" spans="1:7" x14ac:dyDescent="0.25">
      <c r="A1519" s="69" t="s">
        <v>224</v>
      </c>
      <c r="B1519" s="71">
        <v>44561</v>
      </c>
      <c r="C1519">
        <v>-568</v>
      </c>
      <c r="D1519" t="s">
        <v>1844</v>
      </c>
      <c r="E1519" t="s">
        <v>1849</v>
      </c>
      <c r="F1519">
        <v>12</v>
      </c>
      <c r="G1519" t="s">
        <v>1863</v>
      </c>
    </row>
    <row r="1520" spans="1:7" x14ac:dyDescent="0.25">
      <c r="A1520" s="69" t="s">
        <v>224</v>
      </c>
      <c r="B1520" s="71">
        <v>44742</v>
      </c>
      <c r="C1520">
        <v>-3942</v>
      </c>
      <c r="D1520" t="s">
        <v>1845</v>
      </c>
      <c r="E1520" t="s">
        <v>1847</v>
      </c>
      <c r="F1520">
        <v>6</v>
      </c>
      <c r="G1520" t="s">
        <v>1861</v>
      </c>
    </row>
    <row r="1521" spans="1:7" x14ac:dyDescent="0.25">
      <c r="A1521" s="69" t="s">
        <v>224</v>
      </c>
      <c r="B1521" s="71">
        <v>44834</v>
      </c>
      <c r="C1521">
        <v>-22</v>
      </c>
      <c r="D1521" t="s">
        <v>1845</v>
      </c>
      <c r="E1521" t="s">
        <v>1848</v>
      </c>
      <c r="F1521">
        <v>9</v>
      </c>
      <c r="G1521" t="s">
        <v>1862</v>
      </c>
    </row>
    <row r="1522" spans="1:7" x14ac:dyDescent="0.25">
      <c r="A1522" s="69" t="s">
        <v>224</v>
      </c>
      <c r="B1522" s="71">
        <v>44926</v>
      </c>
      <c r="C1522">
        <v>-1001</v>
      </c>
      <c r="D1522" t="s">
        <v>1845</v>
      </c>
      <c r="E1522" t="s">
        <v>1849</v>
      </c>
      <c r="F1522">
        <v>12</v>
      </c>
      <c r="G1522" t="s">
        <v>1863</v>
      </c>
    </row>
    <row r="1523" spans="1:7" x14ac:dyDescent="0.25">
      <c r="A1523" s="69" t="s">
        <v>228</v>
      </c>
      <c r="B1523" s="71">
        <v>42916</v>
      </c>
      <c r="C1523">
        <v>-1152</v>
      </c>
      <c r="D1523" t="s">
        <v>1840</v>
      </c>
      <c r="E1523" t="s">
        <v>1847</v>
      </c>
      <c r="F1523">
        <v>6</v>
      </c>
      <c r="G1523" t="s">
        <v>1861</v>
      </c>
    </row>
    <row r="1524" spans="1:7" x14ac:dyDescent="0.25">
      <c r="A1524" s="69" t="s">
        <v>228</v>
      </c>
      <c r="B1524" s="71">
        <v>43008</v>
      </c>
      <c r="C1524">
        <v>1152</v>
      </c>
      <c r="D1524" t="s">
        <v>1840</v>
      </c>
      <c r="E1524" t="s">
        <v>1848</v>
      </c>
      <c r="F1524">
        <v>9</v>
      </c>
      <c r="G1524" t="s">
        <v>1862</v>
      </c>
    </row>
    <row r="1525" spans="1:7" x14ac:dyDescent="0.25">
      <c r="A1525" s="69" t="s">
        <v>228</v>
      </c>
      <c r="B1525" s="71">
        <v>43281</v>
      </c>
      <c r="C1525">
        <v>-2354</v>
      </c>
      <c r="D1525" t="s">
        <v>1841</v>
      </c>
      <c r="E1525" t="s">
        <v>1847</v>
      </c>
      <c r="F1525">
        <v>6</v>
      </c>
      <c r="G1525" t="s">
        <v>1861</v>
      </c>
    </row>
    <row r="1526" spans="1:7" x14ac:dyDescent="0.25">
      <c r="A1526" s="69" t="s">
        <v>228</v>
      </c>
      <c r="B1526" s="71">
        <v>43373</v>
      </c>
      <c r="C1526">
        <v>2354</v>
      </c>
      <c r="D1526" t="s">
        <v>1841</v>
      </c>
      <c r="E1526" t="s">
        <v>1848</v>
      </c>
      <c r="F1526">
        <v>9</v>
      </c>
      <c r="G1526" t="s">
        <v>1862</v>
      </c>
    </row>
    <row r="1527" spans="1:7" x14ac:dyDescent="0.25">
      <c r="A1527" s="69" t="s">
        <v>234</v>
      </c>
      <c r="B1527" s="71">
        <v>42643</v>
      </c>
      <c r="C1527">
        <v>6849</v>
      </c>
      <c r="D1527" t="s">
        <v>1839</v>
      </c>
      <c r="E1527" t="s">
        <v>1848</v>
      </c>
      <c r="F1527">
        <v>9</v>
      </c>
      <c r="G1527" t="s">
        <v>1862</v>
      </c>
    </row>
    <row r="1528" spans="1:7" x14ac:dyDescent="0.25">
      <c r="A1528" s="69" t="s">
        <v>234</v>
      </c>
      <c r="B1528" s="71">
        <v>42735</v>
      </c>
      <c r="C1528">
        <v>5582</v>
      </c>
      <c r="D1528" t="s">
        <v>1839</v>
      </c>
      <c r="E1528" t="s">
        <v>1849</v>
      </c>
      <c r="F1528">
        <v>12</v>
      </c>
      <c r="G1528" t="s">
        <v>1863</v>
      </c>
    </row>
    <row r="1529" spans="1:7" x14ac:dyDescent="0.25">
      <c r="A1529" s="69" t="s">
        <v>234</v>
      </c>
      <c r="B1529" s="71">
        <v>42825</v>
      </c>
      <c r="C1529">
        <v>24499</v>
      </c>
      <c r="D1529" t="s">
        <v>1840</v>
      </c>
      <c r="E1529" t="s">
        <v>1846</v>
      </c>
      <c r="F1529">
        <v>3</v>
      </c>
      <c r="G1529" t="s">
        <v>1860</v>
      </c>
    </row>
    <row r="1530" spans="1:7" x14ac:dyDescent="0.25">
      <c r="A1530" s="69" t="s">
        <v>234</v>
      </c>
      <c r="B1530" s="71">
        <v>42916</v>
      </c>
      <c r="C1530">
        <v>4083</v>
      </c>
      <c r="D1530" t="s">
        <v>1840</v>
      </c>
      <c r="E1530" t="s">
        <v>1847</v>
      </c>
      <c r="F1530">
        <v>6</v>
      </c>
      <c r="G1530" t="s">
        <v>1861</v>
      </c>
    </row>
    <row r="1531" spans="1:7" x14ac:dyDescent="0.25">
      <c r="A1531" s="69" t="s">
        <v>234</v>
      </c>
      <c r="B1531" s="71">
        <v>43100</v>
      </c>
      <c r="C1531">
        <v>124231</v>
      </c>
      <c r="D1531" t="s">
        <v>1840</v>
      </c>
      <c r="E1531" t="s">
        <v>1849</v>
      </c>
      <c r="F1531">
        <v>12</v>
      </c>
      <c r="G1531" t="s">
        <v>1863</v>
      </c>
    </row>
    <row r="1532" spans="1:7" x14ac:dyDescent="0.25">
      <c r="A1532" s="69" t="s">
        <v>234</v>
      </c>
      <c r="B1532" s="71">
        <v>43190</v>
      </c>
      <c r="C1532">
        <v>4877</v>
      </c>
      <c r="D1532" t="s">
        <v>1841</v>
      </c>
      <c r="E1532" t="s">
        <v>1846</v>
      </c>
      <c r="F1532">
        <v>3</v>
      </c>
      <c r="G1532" t="s">
        <v>1860</v>
      </c>
    </row>
    <row r="1533" spans="1:7" x14ac:dyDescent="0.25">
      <c r="A1533" s="69" t="s">
        <v>234</v>
      </c>
      <c r="B1533" s="71">
        <v>43281</v>
      </c>
      <c r="C1533">
        <v>39827</v>
      </c>
      <c r="D1533" t="s">
        <v>1841</v>
      </c>
      <c r="E1533" t="s">
        <v>1847</v>
      </c>
      <c r="F1533">
        <v>6</v>
      </c>
      <c r="G1533" t="s">
        <v>1861</v>
      </c>
    </row>
    <row r="1534" spans="1:7" x14ac:dyDescent="0.25">
      <c r="A1534" s="69" t="s">
        <v>234</v>
      </c>
      <c r="B1534" s="71">
        <v>43465</v>
      </c>
      <c r="C1534">
        <v>3338</v>
      </c>
      <c r="D1534" t="s">
        <v>1841</v>
      </c>
      <c r="E1534" t="s">
        <v>1849</v>
      </c>
      <c r="F1534">
        <v>12</v>
      </c>
      <c r="G1534" t="s">
        <v>1863</v>
      </c>
    </row>
    <row r="1535" spans="1:7" x14ac:dyDescent="0.25">
      <c r="A1535" s="69" t="s">
        <v>234</v>
      </c>
      <c r="B1535" s="71">
        <v>43555</v>
      </c>
      <c r="C1535">
        <v>24339</v>
      </c>
      <c r="D1535" t="s">
        <v>1842</v>
      </c>
      <c r="E1535" t="s">
        <v>1846</v>
      </c>
      <c r="F1535">
        <v>3</v>
      </c>
      <c r="G1535" t="s">
        <v>1860</v>
      </c>
    </row>
    <row r="1536" spans="1:7" x14ac:dyDescent="0.25">
      <c r="A1536" s="69" t="s">
        <v>234</v>
      </c>
      <c r="B1536" s="71">
        <v>43646</v>
      </c>
      <c r="C1536">
        <v>14619</v>
      </c>
      <c r="D1536" t="s">
        <v>1842</v>
      </c>
      <c r="E1536" t="s">
        <v>1847</v>
      </c>
      <c r="F1536">
        <v>6</v>
      </c>
      <c r="G1536" t="s">
        <v>1861</v>
      </c>
    </row>
    <row r="1537" spans="1:7" x14ac:dyDescent="0.25">
      <c r="A1537" s="69" t="s">
        <v>234</v>
      </c>
      <c r="B1537" s="71">
        <v>43738</v>
      </c>
      <c r="C1537">
        <v>21491</v>
      </c>
      <c r="D1537" t="s">
        <v>1842</v>
      </c>
      <c r="E1537" t="s">
        <v>1848</v>
      </c>
      <c r="F1537">
        <v>9</v>
      </c>
      <c r="G1537" t="s">
        <v>1862</v>
      </c>
    </row>
    <row r="1538" spans="1:7" x14ac:dyDescent="0.25">
      <c r="A1538" s="69" t="s">
        <v>234</v>
      </c>
      <c r="B1538" s="71">
        <v>43830</v>
      </c>
      <c r="C1538">
        <v>182471</v>
      </c>
      <c r="D1538" t="s">
        <v>1842</v>
      </c>
      <c r="E1538" t="s">
        <v>1849</v>
      </c>
      <c r="F1538">
        <v>12</v>
      </c>
      <c r="G1538" t="s">
        <v>1863</v>
      </c>
    </row>
    <row r="1539" spans="1:7" x14ac:dyDescent="0.25">
      <c r="A1539" s="69" t="s">
        <v>234</v>
      </c>
      <c r="B1539" s="71">
        <v>44012</v>
      </c>
      <c r="C1539">
        <v>10000</v>
      </c>
      <c r="D1539" t="s">
        <v>1843</v>
      </c>
      <c r="E1539" t="s">
        <v>1847</v>
      </c>
      <c r="F1539">
        <v>6</v>
      </c>
      <c r="G1539" t="s">
        <v>1861</v>
      </c>
    </row>
    <row r="1540" spans="1:7" x14ac:dyDescent="0.25">
      <c r="A1540" s="69" t="s">
        <v>234</v>
      </c>
      <c r="B1540" s="71">
        <v>44469</v>
      </c>
      <c r="C1540">
        <v>4406</v>
      </c>
      <c r="D1540" t="s">
        <v>1844</v>
      </c>
      <c r="E1540" t="s">
        <v>1848</v>
      </c>
      <c r="F1540">
        <v>9</v>
      </c>
      <c r="G1540" t="s">
        <v>1862</v>
      </c>
    </row>
    <row r="1541" spans="1:7" x14ac:dyDescent="0.25">
      <c r="A1541" s="69" t="s">
        <v>234</v>
      </c>
      <c r="B1541" s="71">
        <v>44834</v>
      </c>
      <c r="C1541">
        <v>9500</v>
      </c>
      <c r="D1541" t="s">
        <v>1845</v>
      </c>
      <c r="E1541" t="s">
        <v>1848</v>
      </c>
      <c r="F1541">
        <v>9</v>
      </c>
      <c r="G1541" t="s">
        <v>1862</v>
      </c>
    </row>
    <row r="1542" spans="1:7" x14ac:dyDescent="0.25">
      <c r="A1542" s="69" t="s">
        <v>237</v>
      </c>
      <c r="B1542" s="71">
        <v>44104</v>
      </c>
      <c r="C1542">
        <v>9212</v>
      </c>
      <c r="D1542" t="s">
        <v>1843</v>
      </c>
      <c r="E1542" t="s">
        <v>1848</v>
      </c>
      <c r="F1542">
        <v>9</v>
      </c>
      <c r="G1542" t="s">
        <v>1862</v>
      </c>
    </row>
    <row r="1543" spans="1:7" x14ac:dyDescent="0.25">
      <c r="A1543" s="69" t="s">
        <v>237</v>
      </c>
      <c r="B1543" s="71">
        <v>44561</v>
      </c>
      <c r="C1543">
        <v>9873</v>
      </c>
      <c r="D1543" t="s">
        <v>1844</v>
      </c>
      <c r="E1543" t="s">
        <v>1849</v>
      </c>
      <c r="F1543">
        <v>12</v>
      </c>
      <c r="G1543" t="s">
        <v>1863</v>
      </c>
    </row>
    <row r="1544" spans="1:7" x14ac:dyDescent="0.25">
      <c r="A1544" s="69" t="s">
        <v>240</v>
      </c>
      <c r="B1544" s="71">
        <v>42460</v>
      </c>
      <c r="C1544">
        <v>-3558</v>
      </c>
      <c r="D1544" t="s">
        <v>1839</v>
      </c>
      <c r="E1544" t="s">
        <v>1846</v>
      </c>
      <c r="F1544">
        <v>3</v>
      </c>
      <c r="G1544" t="s">
        <v>1860</v>
      </c>
    </row>
    <row r="1545" spans="1:7" x14ac:dyDescent="0.25">
      <c r="A1545" s="69" t="s">
        <v>240</v>
      </c>
      <c r="B1545" s="71">
        <v>42551</v>
      </c>
      <c r="C1545">
        <v>695</v>
      </c>
      <c r="D1545" t="s">
        <v>1839</v>
      </c>
      <c r="E1545" t="s">
        <v>1847</v>
      </c>
      <c r="F1545">
        <v>6</v>
      </c>
      <c r="G1545" t="s">
        <v>1861</v>
      </c>
    </row>
    <row r="1546" spans="1:7" x14ac:dyDescent="0.25">
      <c r="A1546" s="69" t="s">
        <v>240</v>
      </c>
      <c r="B1546" s="71">
        <v>42643</v>
      </c>
      <c r="C1546">
        <v>-3540</v>
      </c>
      <c r="D1546" t="s">
        <v>1839</v>
      </c>
      <c r="E1546" t="s">
        <v>1848</v>
      </c>
      <c r="F1546">
        <v>9</v>
      </c>
      <c r="G1546" t="s">
        <v>1862</v>
      </c>
    </row>
    <row r="1547" spans="1:7" x14ac:dyDescent="0.25">
      <c r="A1547" s="69" t="s">
        <v>240</v>
      </c>
      <c r="B1547" s="71">
        <v>42735</v>
      </c>
      <c r="C1547">
        <v>-5199</v>
      </c>
      <c r="D1547" t="s">
        <v>1839</v>
      </c>
      <c r="E1547" t="s">
        <v>1849</v>
      </c>
      <c r="F1547">
        <v>12</v>
      </c>
      <c r="G1547" t="s">
        <v>1863</v>
      </c>
    </row>
    <row r="1548" spans="1:7" x14ac:dyDescent="0.25">
      <c r="A1548" s="69" t="s">
        <v>240</v>
      </c>
      <c r="B1548" s="71">
        <v>42825</v>
      </c>
      <c r="C1548">
        <v>-13857</v>
      </c>
      <c r="D1548" t="s">
        <v>1840</v>
      </c>
      <c r="E1548" t="s">
        <v>1846</v>
      </c>
      <c r="F1548">
        <v>3</v>
      </c>
      <c r="G1548" t="s">
        <v>1860</v>
      </c>
    </row>
    <row r="1549" spans="1:7" x14ac:dyDescent="0.25">
      <c r="A1549" s="69" t="s">
        <v>240</v>
      </c>
      <c r="B1549" s="71">
        <v>42916</v>
      </c>
      <c r="C1549">
        <v>-213</v>
      </c>
      <c r="D1549" t="s">
        <v>1840</v>
      </c>
      <c r="E1549" t="s">
        <v>1847</v>
      </c>
      <c r="F1549">
        <v>6</v>
      </c>
      <c r="G1549" t="s">
        <v>1861</v>
      </c>
    </row>
    <row r="1550" spans="1:7" x14ac:dyDescent="0.25">
      <c r="A1550" s="69" t="s">
        <v>240</v>
      </c>
      <c r="B1550" s="71">
        <v>43008</v>
      </c>
      <c r="C1550">
        <v>-3401</v>
      </c>
      <c r="D1550" t="s">
        <v>1840</v>
      </c>
      <c r="E1550" t="s">
        <v>1848</v>
      </c>
      <c r="F1550">
        <v>9</v>
      </c>
      <c r="G1550" t="s">
        <v>1862</v>
      </c>
    </row>
    <row r="1551" spans="1:7" x14ac:dyDescent="0.25">
      <c r="A1551" s="69" t="s">
        <v>240</v>
      </c>
      <c r="B1551" s="71">
        <v>43100</v>
      </c>
      <c r="C1551">
        <v>-105236</v>
      </c>
      <c r="D1551" t="s">
        <v>1840</v>
      </c>
      <c r="E1551" t="s">
        <v>1849</v>
      </c>
      <c r="F1551">
        <v>12</v>
      </c>
      <c r="G1551" t="s">
        <v>1863</v>
      </c>
    </row>
    <row r="1552" spans="1:7" x14ac:dyDescent="0.25">
      <c r="A1552" s="69" t="s">
        <v>240</v>
      </c>
      <c r="B1552" s="71">
        <v>43190</v>
      </c>
      <c r="C1552">
        <v>-10692</v>
      </c>
      <c r="D1552" t="s">
        <v>1841</v>
      </c>
      <c r="E1552" t="s">
        <v>1846</v>
      </c>
      <c r="F1552">
        <v>3</v>
      </c>
      <c r="G1552" t="s">
        <v>1860</v>
      </c>
    </row>
    <row r="1553" spans="1:7" x14ac:dyDescent="0.25">
      <c r="A1553" s="69" t="s">
        <v>240</v>
      </c>
      <c r="B1553" s="71">
        <v>43281</v>
      </c>
      <c r="C1553">
        <v>-21432</v>
      </c>
      <c r="D1553" t="s">
        <v>1841</v>
      </c>
      <c r="E1553" t="s">
        <v>1847</v>
      </c>
      <c r="F1553">
        <v>6</v>
      </c>
      <c r="G1553" t="s">
        <v>1861</v>
      </c>
    </row>
    <row r="1554" spans="1:7" x14ac:dyDescent="0.25">
      <c r="A1554" s="69" t="s">
        <v>240</v>
      </c>
      <c r="B1554" s="71">
        <v>43373</v>
      </c>
      <c r="C1554">
        <v>-119</v>
      </c>
      <c r="D1554" t="s">
        <v>1841</v>
      </c>
      <c r="E1554" t="s">
        <v>1848</v>
      </c>
      <c r="F1554">
        <v>9</v>
      </c>
      <c r="G1554" t="s">
        <v>1862</v>
      </c>
    </row>
    <row r="1555" spans="1:7" x14ac:dyDescent="0.25">
      <c r="A1555" s="69" t="s">
        <v>240</v>
      </c>
      <c r="B1555" s="71">
        <v>43465</v>
      </c>
      <c r="C1555">
        <v>4295</v>
      </c>
      <c r="D1555" t="s">
        <v>1841</v>
      </c>
      <c r="E1555" t="s">
        <v>1849</v>
      </c>
      <c r="F1555">
        <v>12</v>
      </c>
      <c r="G1555" t="s">
        <v>1863</v>
      </c>
    </row>
    <row r="1556" spans="1:7" x14ac:dyDescent="0.25">
      <c r="A1556" s="69" t="s">
        <v>240</v>
      </c>
      <c r="B1556" s="71">
        <v>43555</v>
      </c>
      <c r="C1556">
        <v>-25960</v>
      </c>
      <c r="D1556" t="s">
        <v>1842</v>
      </c>
      <c r="E1556" t="s">
        <v>1846</v>
      </c>
      <c r="F1556">
        <v>3</v>
      </c>
      <c r="G1556" t="s">
        <v>1860</v>
      </c>
    </row>
    <row r="1557" spans="1:7" x14ac:dyDescent="0.25">
      <c r="A1557" s="69" t="s">
        <v>240</v>
      </c>
      <c r="B1557" s="71">
        <v>43646</v>
      </c>
      <c r="C1557">
        <v>3857</v>
      </c>
      <c r="D1557" t="s">
        <v>1842</v>
      </c>
      <c r="E1557" t="s">
        <v>1847</v>
      </c>
      <c r="F1557">
        <v>6</v>
      </c>
      <c r="G1557" t="s">
        <v>1861</v>
      </c>
    </row>
    <row r="1558" spans="1:7" x14ac:dyDescent="0.25">
      <c r="A1558" s="69" t="s">
        <v>240</v>
      </c>
      <c r="B1558" s="71">
        <v>43738</v>
      </c>
      <c r="C1558">
        <v>-21649</v>
      </c>
      <c r="D1558" t="s">
        <v>1842</v>
      </c>
      <c r="E1558" t="s">
        <v>1848</v>
      </c>
      <c r="F1558">
        <v>9</v>
      </c>
      <c r="G1558" t="s">
        <v>1862</v>
      </c>
    </row>
    <row r="1559" spans="1:7" x14ac:dyDescent="0.25">
      <c r="A1559" s="69" t="s">
        <v>240</v>
      </c>
      <c r="B1559" s="71">
        <v>43830</v>
      </c>
      <c r="C1559">
        <v>-89139</v>
      </c>
      <c r="D1559" t="s">
        <v>1842</v>
      </c>
      <c r="E1559" t="s">
        <v>1849</v>
      </c>
      <c r="F1559">
        <v>12</v>
      </c>
      <c r="G1559" t="s">
        <v>1863</v>
      </c>
    </row>
    <row r="1560" spans="1:7" x14ac:dyDescent="0.25">
      <c r="A1560" s="69" t="s">
        <v>240</v>
      </c>
      <c r="B1560" s="71">
        <v>43921</v>
      </c>
      <c r="C1560">
        <v>-165</v>
      </c>
      <c r="D1560" t="s">
        <v>1843</v>
      </c>
      <c r="E1560" t="s">
        <v>1846</v>
      </c>
      <c r="F1560">
        <v>3</v>
      </c>
      <c r="G1560" t="s">
        <v>1860</v>
      </c>
    </row>
    <row r="1561" spans="1:7" x14ac:dyDescent="0.25">
      <c r="A1561" s="69" t="s">
        <v>240</v>
      </c>
      <c r="B1561" s="71">
        <v>44012</v>
      </c>
      <c r="C1561">
        <v>-8943</v>
      </c>
      <c r="D1561" t="s">
        <v>1843</v>
      </c>
      <c r="E1561" t="s">
        <v>1847</v>
      </c>
      <c r="F1561">
        <v>6</v>
      </c>
      <c r="G1561" t="s">
        <v>1861</v>
      </c>
    </row>
    <row r="1562" spans="1:7" x14ac:dyDescent="0.25">
      <c r="A1562" s="69" t="s">
        <v>240</v>
      </c>
      <c r="B1562" s="71">
        <v>44104</v>
      </c>
      <c r="C1562">
        <v>-42</v>
      </c>
      <c r="D1562" t="s">
        <v>1843</v>
      </c>
      <c r="E1562" t="s">
        <v>1848</v>
      </c>
      <c r="F1562">
        <v>9</v>
      </c>
      <c r="G1562" t="s">
        <v>1862</v>
      </c>
    </row>
    <row r="1563" spans="1:7" x14ac:dyDescent="0.25">
      <c r="A1563" s="69" t="s">
        <v>240</v>
      </c>
      <c r="B1563" s="71">
        <v>44286</v>
      </c>
      <c r="C1563">
        <v>-71</v>
      </c>
      <c r="D1563" t="s">
        <v>1844</v>
      </c>
      <c r="E1563" t="s">
        <v>1846</v>
      </c>
      <c r="F1563">
        <v>3</v>
      </c>
      <c r="G1563" t="s">
        <v>1860</v>
      </c>
    </row>
    <row r="1564" spans="1:7" x14ac:dyDescent="0.25">
      <c r="A1564" s="69" t="s">
        <v>240</v>
      </c>
      <c r="B1564" s="71">
        <v>44377</v>
      </c>
      <c r="C1564">
        <v>-111</v>
      </c>
      <c r="D1564" t="s">
        <v>1844</v>
      </c>
      <c r="E1564" t="s">
        <v>1847</v>
      </c>
      <c r="F1564">
        <v>6</v>
      </c>
      <c r="G1564" t="s">
        <v>1861</v>
      </c>
    </row>
    <row r="1565" spans="1:7" x14ac:dyDescent="0.25">
      <c r="A1565" s="69" t="s">
        <v>240</v>
      </c>
      <c r="B1565" s="71">
        <v>44469</v>
      </c>
      <c r="C1565">
        <v>-786</v>
      </c>
      <c r="D1565" t="s">
        <v>1844</v>
      </c>
      <c r="E1565" t="s">
        <v>1848</v>
      </c>
      <c r="F1565">
        <v>9</v>
      </c>
      <c r="G1565" t="s">
        <v>1862</v>
      </c>
    </row>
    <row r="1566" spans="1:7" x14ac:dyDescent="0.25">
      <c r="A1566" s="69" t="s">
        <v>240</v>
      </c>
      <c r="B1566" s="71">
        <v>44561</v>
      </c>
      <c r="C1566">
        <v>-1460</v>
      </c>
      <c r="D1566" t="s">
        <v>1844</v>
      </c>
      <c r="E1566" t="s">
        <v>1849</v>
      </c>
      <c r="F1566">
        <v>12</v>
      </c>
      <c r="G1566" t="s">
        <v>1863</v>
      </c>
    </row>
    <row r="1567" spans="1:7" x14ac:dyDescent="0.25">
      <c r="A1567" s="69" t="s">
        <v>240</v>
      </c>
      <c r="B1567" s="71">
        <v>44651</v>
      </c>
      <c r="C1567">
        <v>-666</v>
      </c>
      <c r="D1567" t="s">
        <v>1845</v>
      </c>
      <c r="E1567" t="s">
        <v>1846</v>
      </c>
      <c r="F1567">
        <v>3</v>
      </c>
      <c r="G1567" t="s">
        <v>1860</v>
      </c>
    </row>
    <row r="1568" spans="1:7" x14ac:dyDescent="0.25">
      <c r="A1568" s="69" t="s">
        <v>240</v>
      </c>
      <c r="B1568" s="71">
        <v>44742</v>
      </c>
      <c r="C1568">
        <v>-672</v>
      </c>
      <c r="D1568" t="s">
        <v>1845</v>
      </c>
      <c r="E1568" t="s">
        <v>1847</v>
      </c>
      <c r="F1568">
        <v>6</v>
      </c>
      <c r="G1568" t="s">
        <v>1861</v>
      </c>
    </row>
    <row r="1569" spans="1:7" x14ac:dyDescent="0.25">
      <c r="A1569" s="69" t="s">
        <v>240</v>
      </c>
      <c r="B1569" s="71">
        <v>44834</v>
      </c>
      <c r="C1569">
        <v>-10817</v>
      </c>
      <c r="D1569" t="s">
        <v>1845</v>
      </c>
      <c r="E1569" t="s">
        <v>1848</v>
      </c>
      <c r="F1569">
        <v>9</v>
      </c>
      <c r="G1569" t="s">
        <v>1862</v>
      </c>
    </row>
    <row r="1570" spans="1:7" x14ac:dyDescent="0.25">
      <c r="A1570" s="69" t="s">
        <v>240</v>
      </c>
      <c r="B1570" s="71">
        <v>44926</v>
      </c>
      <c r="C1570">
        <v>-712</v>
      </c>
      <c r="D1570" t="s">
        <v>1845</v>
      </c>
      <c r="E1570" t="s">
        <v>1849</v>
      </c>
      <c r="F1570">
        <v>12</v>
      </c>
      <c r="G1570" t="s">
        <v>1863</v>
      </c>
    </row>
    <row r="1571" spans="1:7" x14ac:dyDescent="0.25">
      <c r="A1571" s="69" t="s">
        <v>243</v>
      </c>
      <c r="B1571" s="71">
        <v>43921</v>
      </c>
      <c r="C1571">
        <v>-5016</v>
      </c>
      <c r="D1571" t="s">
        <v>1843</v>
      </c>
      <c r="E1571" t="s">
        <v>1846</v>
      </c>
      <c r="F1571">
        <v>3</v>
      </c>
      <c r="G1571" t="s">
        <v>1860</v>
      </c>
    </row>
    <row r="1572" spans="1:7" x14ac:dyDescent="0.25">
      <c r="A1572" s="69" t="s">
        <v>243</v>
      </c>
      <c r="B1572" s="71">
        <v>44012</v>
      </c>
      <c r="C1572">
        <v>-1889</v>
      </c>
      <c r="D1572" t="s">
        <v>1843</v>
      </c>
      <c r="E1572" t="s">
        <v>1847</v>
      </c>
      <c r="F1572">
        <v>6</v>
      </c>
      <c r="G1572" t="s">
        <v>1861</v>
      </c>
    </row>
    <row r="1573" spans="1:7" x14ac:dyDescent="0.25">
      <c r="A1573" s="69" t="s">
        <v>243</v>
      </c>
      <c r="B1573" s="71">
        <v>44104</v>
      </c>
      <c r="C1573">
        <v>-3181</v>
      </c>
      <c r="D1573" t="s">
        <v>1843</v>
      </c>
      <c r="E1573" t="s">
        <v>1848</v>
      </c>
      <c r="F1573">
        <v>9</v>
      </c>
      <c r="G1573" t="s">
        <v>1862</v>
      </c>
    </row>
    <row r="1574" spans="1:7" x14ac:dyDescent="0.25">
      <c r="A1574" s="69" t="s">
        <v>243</v>
      </c>
      <c r="B1574" s="71">
        <v>44196</v>
      </c>
      <c r="C1574">
        <v>-2772</v>
      </c>
      <c r="D1574" t="s">
        <v>1843</v>
      </c>
      <c r="E1574" t="s">
        <v>1849</v>
      </c>
      <c r="F1574">
        <v>12</v>
      </c>
      <c r="G1574" t="s">
        <v>1863</v>
      </c>
    </row>
    <row r="1575" spans="1:7" x14ac:dyDescent="0.25">
      <c r="A1575" s="69" t="s">
        <v>243</v>
      </c>
      <c r="B1575" s="71">
        <v>44286</v>
      </c>
      <c r="C1575">
        <v>-3618</v>
      </c>
      <c r="D1575" t="s">
        <v>1844</v>
      </c>
      <c r="E1575" t="s">
        <v>1846</v>
      </c>
      <c r="F1575">
        <v>3</v>
      </c>
      <c r="G1575" t="s">
        <v>1860</v>
      </c>
    </row>
    <row r="1576" spans="1:7" x14ac:dyDescent="0.25">
      <c r="A1576" s="69" t="s">
        <v>243</v>
      </c>
      <c r="B1576" s="71">
        <v>44377</v>
      </c>
      <c r="C1576">
        <v>-4011</v>
      </c>
      <c r="D1576" t="s">
        <v>1844</v>
      </c>
      <c r="E1576" t="s">
        <v>1847</v>
      </c>
      <c r="F1576">
        <v>6</v>
      </c>
      <c r="G1576" t="s">
        <v>1861</v>
      </c>
    </row>
    <row r="1577" spans="1:7" x14ac:dyDescent="0.25">
      <c r="A1577" s="69" t="s">
        <v>243</v>
      </c>
      <c r="B1577" s="71">
        <v>44469</v>
      </c>
      <c r="C1577">
        <v>-4373</v>
      </c>
      <c r="D1577" t="s">
        <v>1844</v>
      </c>
      <c r="E1577" t="s">
        <v>1848</v>
      </c>
      <c r="F1577">
        <v>9</v>
      </c>
      <c r="G1577" t="s">
        <v>1862</v>
      </c>
    </row>
    <row r="1578" spans="1:7" x14ac:dyDescent="0.25">
      <c r="A1578" s="69" t="s">
        <v>243</v>
      </c>
      <c r="B1578" s="71">
        <v>44561</v>
      </c>
      <c r="C1578">
        <v>-4298</v>
      </c>
      <c r="D1578" t="s">
        <v>1844</v>
      </c>
      <c r="E1578" t="s">
        <v>1849</v>
      </c>
      <c r="F1578">
        <v>12</v>
      </c>
      <c r="G1578" t="s">
        <v>1863</v>
      </c>
    </row>
    <row r="1579" spans="1:7" x14ac:dyDescent="0.25">
      <c r="A1579" s="69" t="s">
        <v>243</v>
      </c>
      <c r="B1579" s="71">
        <v>44651</v>
      </c>
      <c r="C1579">
        <v>-4404</v>
      </c>
      <c r="D1579" t="s">
        <v>1845</v>
      </c>
      <c r="E1579" t="s">
        <v>1846</v>
      </c>
      <c r="F1579">
        <v>3</v>
      </c>
      <c r="G1579" t="s">
        <v>1860</v>
      </c>
    </row>
    <row r="1580" spans="1:7" x14ac:dyDescent="0.25">
      <c r="A1580" s="69" t="s">
        <v>243</v>
      </c>
      <c r="B1580" s="71">
        <v>44742</v>
      </c>
      <c r="C1580">
        <v>-4732</v>
      </c>
      <c r="D1580" t="s">
        <v>1845</v>
      </c>
      <c r="E1580" t="s">
        <v>1847</v>
      </c>
      <c r="F1580">
        <v>6</v>
      </c>
      <c r="G1580" t="s">
        <v>1861</v>
      </c>
    </row>
    <row r="1581" spans="1:7" x14ac:dyDescent="0.25">
      <c r="A1581" s="69" t="s">
        <v>243</v>
      </c>
      <c r="B1581" s="71">
        <v>44834</v>
      </c>
      <c r="C1581">
        <v>-5251</v>
      </c>
      <c r="D1581" t="s">
        <v>1845</v>
      </c>
      <c r="E1581" t="s">
        <v>1848</v>
      </c>
      <c r="F1581">
        <v>9</v>
      </c>
      <c r="G1581" t="s">
        <v>1862</v>
      </c>
    </row>
    <row r="1582" spans="1:7" x14ac:dyDescent="0.25">
      <c r="A1582" s="69" t="s">
        <v>243</v>
      </c>
      <c r="B1582" s="71">
        <v>44926</v>
      </c>
      <c r="C1582">
        <v>-5977</v>
      </c>
      <c r="D1582" t="s">
        <v>1845</v>
      </c>
      <c r="E1582" t="s">
        <v>1849</v>
      </c>
      <c r="F1582">
        <v>12</v>
      </c>
      <c r="G1582" t="s">
        <v>1863</v>
      </c>
    </row>
    <row r="1583" spans="1:7" x14ac:dyDescent="0.25">
      <c r="A1583" s="69" t="s">
        <v>246</v>
      </c>
      <c r="B1583" s="71">
        <v>42551</v>
      </c>
      <c r="C1583">
        <v>-2829</v>
      </c>
      <c r="D1583" t="s">
        <v>1839</v>
      </c>
      <c r="E1583" t="s">
        <v>1847</v>
      </c>
      <c r="F1583">
        <v>6</v>
      </c>
      <c r="G1583" t="s">
        <v>1861</v>
      </c>
    </row>
    <row r="1584" spans="1:7" x14ac:dyDescent="0.25">
      <c r="A1584" s="69" t="s">
        <v>246</v>
      </c>
      <c r="B1584" s="71">
        <v>42643</v>
      </c>
      <c r="C1584">
        <v>-1392</v>
      </c>
      <c r="D1584" t="s">
        <v>1839</v>
      </c>
      <c r="E1584" t="s">
        <v>1848</v>
      </c>
      <c r="F1584">
        <v>9</v>
      </c>
      <c r="G1584" t="s">
        <v>1862</v>
      </c>
    </row>
    <row r="1585" spans="1:7" x14ac:dyDescent="0.25">
      <c r="A1585" s="69" t="s">
        <v>246</v>
      </c>
      <c r="B1585" s="71">
        <v>42735</v>
      </c>
      <c r="C1585">
        <v>-1381</v>
      </c>
      <c r="D1585" t="s">
        <v>1839</v>
      </c>
      <c r="E1585" t="s">
        <v>1849</v>
      </c>
      <c r="F1585">
        <v>12</v>
      </c>
      <c r="G1585" t="s">
        <v>1863</v>
      </c>
    </row>
    <row r="1586" spans="1:7" x14ac:dyDescent="0.25">
      <c r="A1586" s="69" t="s">
        <v>246</v>
      </c>
      <c r="B1586" s="71">
        <v>42825</v>
      </c>
      <c r="C1586">
        <v>-1616</v>
      </c>
      <c r="D1586" t="s">
        <v>1840</v>
      </c>
      <c r="E1586" t="s">
        <v>1846</v>
      </c>
      <c r="F1586">
        <v>3</v>
      </c>
      <c r="G1586" t="s">
        <v>1860</v>
      </c>
    </row>
    <row r="1587" spans="1:7" x14ac:dyDescent="0.25">
      <c r="A1587" s="69" t="s">
        <v>246</v>
      </c>
      <c r="B1587" s="71">
        <v>42916</v>
      </c>
      <c r="C1587">
        <v>-1680</v>
      </c>
      <c r="D1587" t="s">
        <v>1840</v>
      </c>
      <c r="E1587" t="s">
        <v>1847</v>
      </c>
      <c r="F1587">
        <v>6</v>
      </c>
      <c r="G1587" t="s">
        <v>1861</v>
      </c>
    </row>
    <row r="1588" spans="1:7" x14ac:dyDescent="0.25">
      <c r="A1588" s="69" t="s">
        <v>246</v>
      </c>
      <c r="B1588" s="71">
        <v>43008</v>
      </c>
      <c r="C1588">
        <v>-1544</v>
      </c>
      <c r="D1588" t="s">
        <v>1840</v>
      </c>
      <c r="E1588" t="s">
        <v>1848</v>
      </c>
      <c r="F1588">
        <v>9</v>
      </c>
      <c r="G1588" t="s">
        <v>1862</v>
      </c>
    </row>
    <row r="1589" spans="1:7" x14ac:dyDescent="0.25">
      <c r="A1589" s="69" t="s">
        <v>246</v>
      </c>
      <c r="B1589" s="71">
        <v>43100</v>
      </c>
      <c r="C1589">
        <v>-2079</v>
      </c>
      <c r="D1589" t="s">
        <v>1840</v>
      </c>
      <c r="E1589" t="s">
        <v>1849</v>
      </c>
      <c r="F1589">
        <v>12</v>
      </c>
      <c r="G1589" t="s">
        <v>1863</v>
      </c>
    </row>
    <row r="1590" spans="1:7" x14ac:dyDescent="0.25">
      <c r="A1590" s="69" t="s">
        <v>246</v>
      </c>
      <c r="B1590" s="71">
        <v>43190</v>
      </c>
      <c r="C1590">
        <v>-1408</v>
      </c>
      <c r="D1590" t="s">
        <v>1841</v>
      </c>
      <c r="E1590" t="s">
        <v>1846</v>
      </c>
      <c r="F1590">
        <v>3</v>
      </c>
      <c r="G1590" t="s">
        <v>1860</v>
      </c>
    </row>
    <row r="1591" spans="1:7" x14ac:dyDescent="0.25">
      <c r="A1591" s="69" t="s">
        <v>246</v>
      </c>
      <c r="B1591" s="71">
        <v>43281</v>
      </c>
      <c r="C1591">
        <v>-1577</v>
      </c>
      <c r="D1591" t="s">
        <v>1841</v>
      </c>
      <c r="E1591" t="s">
        <v>1847</v>
      </c>
      <c r="F1591">
        <v>6</v>
      </c>
      <c r="G1591" t="s">
        <v>1861</v>
      </c>
    </row>
    <row r="1592" spans="1:7" x14ac:dyDescent="0.25">
      <c r="A1592" s="69" t="s">
        <v>246</v>
      </c>
      <c r="B1592" s="71">
        <v>43373</v>
      </c>
      <c r="C1592">
        <v>-1824</v>
      </c>
      <c r="D1592" t="s">
        <v>1841</v>
      </c>
      <c r="E1592" t="s">
        <v>1848</v>
      </c>
      <c r="F1592">
        <v>9</v>
      </c>
      <c r="G1592" t="s">
        <v>1862</v>
      </c>
    </row>
    <row r="1593" spans="1:7" x14ac:dyDescent="0.25">
      <c r="A1593" s="69" t="s">
        <v>246</v>
      </c>
      <c r="B1593" s="71">
        <v>43465</v>
      </c>
      <c r="C1593">
        <v>-1824</v>
      </c>
      <c r="D1593" t="s">
        <v>1841</v>
      </c>
      <c r="E1593" t="s">
        <v>1849</v>
      </c>
      <c r="F1593">
        <v>12</v>
      </c>
      <c r="G1593" t="s">
        <v>1863</v>
      </c>
    </row>
    <row r="1594" spans="1:7" x14ac:dyDescent="0.25">
      <c r="A1594" s="69" t="s">
        <v>246</v>
      </c>
      <c r="B1594" s="71">
        <v>43555</v>
      </c>
      <c r="C1594">
        <v>-1842</v>
      </c>
      <c r="D1594" t="s">
        <v>1842</v>
      </c>
      <c r="E1594" t="s">
        <v>1846</v>
      </c>
      <c r="F1594">
        <v>3</v>
      </c>
      <c r="G1594" t="s">
        <v>1860</v>
      </c>
    </row>
    <row r="1595" spans="1:7" x14ac:dyDescent="0.25">
      <c r="A1595" s="69" t="s">
        <v>246</v>
      </c>
      <c r="B1595" s="71">
        <v>43646</v>
      </c>
      <c r="C1595">
        <v>-1857</v>
      </c>
      <c r="D1595" t="s">
        <v>1842</v>
      </c>
      <c r="E1595" t="s">
        <v>1847</v>
      </c>
      <c r="F1595">
        <v>6</v>
      </c>
      <c r="G1595" t="s">
        <v>1861</v>
      </c>
    </row>
    <row r="1596" spans="1:7" x14ac:dyDescent="0.25">
      <c r="A1596" s="69" t="s">
        <v>246</v>
      </c>
      <c r="B1596" s="71">
        <v>43738</v>
      </c>
      <c r="C1596">
        <v>-1823</v>
      </c>
      <c r="D1596" t="s">
        <v>1842</v>
      </c>
      <c r="E1596" t="s">
        <v>1848</v>
      </c>
      <c r="F1596">
        <v>9</v>
      </c>
      <c r="G1596" t="s">
        <v>1862</v>
      </c>
    </row>
    <row r="1597" spans="1:7" x14ac:dyDescent="0.25">
      <c r="A1597" s="69" t="s">
        <v>246</v>
      </c>
      <c r="B1597" s="71">
        <v>43830</v>
      </c>
      <c r="C1597">
        <v>-1767</v>
      </c>
      <c r="D1597" t="s">
        <v>1842</v>
      </c>
      <c r="E1597" t="s">
        <v>1849</v>
      </c>
      <c r="F1597">
        <v>12</v>
      </c>
      <c r="G1597" t="s">
        <v>1863</v>
      </c>
    </row>
    <row r="1598" spans="1:7" x14ac:dyDescent="0.25">
      <c r="A1598" s="69" t="s">
        <v>246</v>
      </c>
      <c r="B1598" s="71">
        <v>43921</v>
      </c>
      <c r="C1598">
        <v>-2471</v>
      </c>
      <c r="D1598" t="s">
        <v>1843</v>
      </c>
      <c r="E1598" t="s">
        <v>1846</v>
      </c>
      <c r="F1598">
        <v>3</v>
      </c>
      <c r="G1598" t="s">
        <v>1860</v>
      </c>
    </row>
    <row r="1599" spans="1:7" x14ac:dyDescent="0.25">
      <c r="A1599" s="69" t="s">
        <v>246</v>
      </c>
      <c r="B1599" s="71">
        <v>44012</v>
      </c>
      <c r="C1599">
        <v>-2276</v>
      </c>
      <c r="D1599" t="s">
        <v>1843</v>
      </c>
      <c r="E1599" t="s">
        <v>1847</v>
      </c>
      <c r="F1599">
        <v>6</v>
      </c>
      <c r="G1599" t="s">
        <v>1861</v>
      </c>
    </row>
    <row r="1600" spans="1:7" x14ac:dyDescent="0.25">
      <c r="A1600" s="69" t="s">
        <v>246</v>
      </c>
      <c r="B1600" s="71">
        <v>44104</v>
      </c>
      <c r="C1600">
        <v>-2434</v>
      </c>
      <c r="D1600" t="s">
        <v>1843</v>
      </c>
      <c r="E1600" t="s">
        <v>1848</v>
      </c>
      <c r="F1600">
        <v>9</v>
      </c>
      <c r="G1600" t="s">
        <v>1862</v>
      </c>
    </row>
    <row r="1601" spans="1:7" x14ac:dyDescent="0.25">
      <c r="A1601" s="69" t="s">
        <v>246</v>
      </c>
      <c r="B1601" s="71">
        <v>44196</v>
      </c>
      <c r="C1601">
        <v>-2476</v>
      </c>
      <c r="D1601" t="s">
        <v>1843</v>
      </c>
      <c r="E1601" t="s">
        <v>1849</v>
      </c>
      <c r="F1601">
        <v>12</v>
      </c>
      <c r="G1601" t="s">
        <v>1863</v>
      </c>
    </row>
    <row r="1602" spans="1:7" x14ac:dyDescent="0.25">
      <c r="A1602" s="69" t="s">
        <v>246</v>
      </c>
      <c r="B1602" s="71">
        <v>44286</v>
      </c>
      <c r="C1602">
        <v>-3277</v>
      </c>
      <c r="D1602" t="s">
        <v>1844</v>
      </c>
      <c r="E1602" t="s">
        <v>1846</v>
      </c>
      <c r="F1602">
        <v>3</v>
      </c>
      <c r="G1602" t="s">
        <v>1860</v>
      </c>
    </row>
    <row r="1603" spans="1:7" x14ac:dyDescent="0.25">
      <c r="A1603" s="69" t="s">
        <v>246</v>
      </c>
      <c r="B1603" s="71">
        <v>44377</v>
      </c>
      <c r="C1603">
        <v>-3393</v>
      </c>
      <c r="D1603" t="s">
        <v>1844</v>
      </c>
      <c r="E1603" t="s">
        <v>1847</v>
      </c>
      <c r="F1603">
        <v>6</v>
      </c>
      <c r="G1603" t="s">
        <v>1861</v>
      </c>
    </row>
    <row r="1604" spans="1:7" x14ac:dyDescent="0.25">
      <c r="A1604" s="69" t="s">
        <v>246</v>
      </c>
      <c r="B1604" s="71">
        <v>44469</v>
      </c>
      <c r="C1604">
        <v>-2276</v>
      </c>
      <c r="D1604" t="s">
        <v>1844</v>
      </c>
      <c r="E1604" t="s">
        <v>1848</v>
      </c>
      <c r="F1604">
        <v>9</v>
      </c>
      <c r="G1604" t="s">
        <v>1862</v>
      </c>
    </row>
    <row r="1605" spans="1:7" x14ac:dyDescent="0.25">
      <c r="A1605" s="69" t="s">
        <v>246</v>
      </c>
      <c r="B1605" s="71">
        <v>44561</v>
      </c>
      <c r="C1605">
        <v>-3025</v>
      </c>
      <c r="D1605" t="s">
        <v>1844</v>
      </c>
      <c r="E1605" t="s">
        <v>1849</v>
      </c>
      <c r="F1605">
        <v>12</v>
      </c>
      <c r="G1605" t="s">
        <v>1863</v>
      </c>
    </row>
    <row r="1606" spans="1:7" x14ac:dyDescent="0.25">
      <c r="A1606" s="69" t="s">
        <v>246</v>
      </c>
      <c r="B1606" s="71">
        <v>44651</v>
      </c>
      <c r="C1606">
        <v>-2492</v>
      </c>
      <c r="D1606" t="s">
        <v>1845</v>
      </c>
      <c r="E1606" t="s">
        <v>1846</v>
      </c>
      <c r="F1606">
        <v>3</v>
      </c>
      <c r="G1606" t="s">
        <v>1860</v>
      </c>
    </row>
    <row r="1607" spans="1:7" x14ac:dyDescent="0.25">
      <c r="A1607" s="69" t="s">
        <v>246</v>
      </c>
      <c r="B1607" s="71">
        <v>44742</v>
      </c>
      <c r="C1607">
        <v>-2482</v>
      </c>
      <c r="D1607" t="s">
        <v>1845</v>
      </c>
      <c r="E1607" t="s">
        <v>1847</v>
      </c>
      <c r="F1607">
        <v>6</v>
      </c>
      <c r="G1607" t="s">
        <v>1861</v>
      </c>
    </row>
    <row r="1608" spans="1:7" x14ac:dyDescent="0.25">
      <c r="A1608" s="69" t="s">
        <v>246</v>
      </c>
      <c r="B1608" s="71">
        <v>44834</v>
      </c>
      <c r="C1608">
        <v>-2588</v>
      </c>
      <c r="D1608" t="s">
        <v>1845</v>
      </c>
      <c r="E1608" t="s">
        <v>1848</v>
      </c>
      <c r="F1608">
        <v>9</v>
      </c>
      <c r="G1608" t="s">
        <v>1862</v>
      </c>
    </row>
    <row r="1609" spans="1:7" x14ac:dyDescent="0.25">
      <c r="A1609" s="69" t="s">
        <v>246</v>
      </c>
      <c r="B1609" s="71">
        <v>44926</v>
      </c>
      <c r="C1609">
        <v>-2562</v>
      </c>
      <c r="D1609" t="s">
        <v>1845</v>
      </c>
      <c r="E1609" t="s">
        <v>1849</v>
      </c>
      <c r="F1609">
        <v>12</v>
      </c>
      <c r="G1609" t="s">
        <v>1863</v>
      </c>
    </row>
    <row r="1610" spans="1:7" x14ac:dyDescent="0.25">
      <c r="A1610" s="69" t="s">
        <v>247</v>
      </c>
      <c r="B1610" s="71">
        <v>42643</v>
      </c>
      <c r="C1610">
        <v>-1157</v>
      </c>
      <c r="D1610" t="s">
        <v>1839</v>
      </c>
      <c r="E1610" t="s">
        <v>1848</v>
      </c>
      <c r="F1610">
        <v>9</v>
      </c>
      <c r="G1610" t="s">
        <v>1862</v>
      </c>
    </row>
    <row r="1611" spans="1:7" x14ac:dyDescent="0.25">
      <c r="A1611" s="69" t="s">
        <v>247</v>
      </c>
      <c r="B1611" s="71">
        <v>43373</v>
      </c>
      <c r="C1611">
        <v>-1900</v>
      </c>
      <c r="D1611" t="s">
        <v>1841</v>
      </c>
      <c r="E1611" t="s">
        <v>1848</v>
      </c>
      <c r="F1611">
        <v>9</v>
      </c>
      <c r="G1611" t="s">
        <v>1862</v>
      </c>
    </row>
    <row r="1612" spans="1:7" x14ac:dyDescent="0.25">
      <c r="A1612" s="69" t="s">
        <v>247</v>
      </c>
      <c r="B1612" s="71">
        <v>43465</v>
      </c>
      <c r="C1612">
        <v>-4640</v>
      </c>
      <c r="D1612" t="s">
        <v>1841</v>
      </c>
      <c r="E1612" t="s">
        <v>1849</v>
      </c>
      <c r="F1612">
        <v>12</v>
      </c>
      <c r="G1612" t="s">
        <v>1863</v>
      </c>
    </row>
    <row r="1613" spans="1:7" x14ac:dyDescent="0.25">
      <c r="A1613" s="69" t="s">
        <v>247</v>
      </c>
      <c r="B1613" s="71">
        <v>43555</v>
      </c>
      <c r="C1613">
        <v>-7075</v>
      </c>
      <c r="D1613" t="s">
        <v>1842</v>
      </c>
      <c r="E1613" t="s">
        <v>1846</v>
      </c>
      <c r="F1613">
        <v>3</v>
      </c>
      <c r="G1613" t="s">
        <v>1860</v>
      </c>
    </row>
    <row r="1614" spans="1:7" x14ac:dyDescent="0.25">
      <c r="A1614" s="69" t="s">
        <v>247</v>
      </c>
      <c r="B1614" s="71">
        <v>43921</v>
      </c>
      <c r="C1614">
        <v>-6642</v>
      </c>
      <c r="D1614" t="s">
        <v>1843</v>
      </c>
      <c r="E1614" t="s">
        <v>1846</v>
      </c>
      <c r="F1614">
        <v>3</v>
      </c>
      <c r="G1614" t="s">
        <v>1860</v>
      </c>
    </row>
    <row r="1615" spans="1:7" x14ac:dyDescent="0.25">
      <c r="A1615" s="69" t="s">
        <v>253</v>
      </c>
      <c r="B1615" s="71">
        <v>44012</v>
      </c>
      <c r="C1615">
        <v>-4275</v>
      </c>
      <c r="D1615" t="s">
        <v>1843</v>
      </c>
      <c r="E1615" t="s">
        <v>1847</v>
      </c>
      <c r="F1615">
        <v>6</v>
      </c>
      <c r="G1615" t="s">
        <v>1861</v>
      </c>
    </row>
    <row r="1616" spans="1:7" x14ac:dyDescent="0.25">
      <c r="A1616" s="69" t="s">
        <v>253</v>
      </c>
      <c r="B1616" s="71">
        <v>44104</v>
      </c>
      <c r="C1616">
        <v>-4414</v>
      </c>
      <c r="D1616" t="s">
        <v>1843</v>
      </c>
      <c r="E1616" t="s">
        <v>1848</v>
      </c>
      <c r="F1616">
        <v>9</v>
      </c>
      <c r="G1616" t="s">
        <v>1862</v>
      </c>
    </row>
    <row r="1617" spans="1:7" x14ac:dyDescent="0.25">
      <c r="A1617" s="69" t="s">
        <v>253</v>
      </c>
      <c r="B1617" s="71">
        <v>44196</v>
      </c>
      <c r="C1617">
        <v>-4691</v>
      </c>
      <c r="D1617" t="s">
        <v>1843</v>
      </c>
      <c r="E1617" t="s">
        <v>1849</v>
      </c>
      <c r="F1617">
        <v>12</v>
      </c>
      <c r="G1617" t="s">
        <v>1863</v>
      </c>
    </row>
    <row r="1618" spans="1:7" x14ac:dyDescent="0.25">
      <c r="A1618" s="69" t="s">
        <v>253</v>
      </c>
      <c r="B1618" s="71">
        <v>44286</v>
      </c>
      <c r="C1618">
        <v>5193</v>
      </c>
      <c r="D1618" t="s">
        <v>1844</v>
      </c>
      <c r="E1618" t="s">
        <v>1846</v>
      </c>
      <c r="F1618">
        <v>3</v>
      </c>
      <c r="G1618" t="s">
        <v>1860</v>
      </c>
    </row>
    <row r="1619" spans="1:7" x14ac:dyDescent="0.25">
      <c r="A1619" s="69" t="s">
        <v>253</v>
      </c>
      <c r="B1619" s="71">
        <v>44377</v>
      </c>
      <c r="C1619">
        <v>5254</v>
      </c>
      <c r="D1619" t="s">
        <v>1844</v>
      </c>
      <c r="E1619" t="s">
        <v>1847</v>
      </c>
      <c r="F1619">
        <v>6</v>
      </c>
      <c r="G1619" t="s">
        <v>1861</v>
      </c>
    </row>
    <row r="1620" spans="1:7" x14ac:dyDescent="0.25">
      <c r="A1620" s="69" t="s">
        <v>253</v>
      </c>
      <c r="B1620" s="71">
        <v>44469</v>
      </c>
      <c r="C1620">
        <v>3489</v>
      </c>
      <c r="D1620" t="s">
        <v>1844</v>
      </c>
      <c r="E1620" t="s">
        <v>1848</v>
      </c>
      <c r="F1620">
        <v>9</v>
      </c>
      <c r="G1620" t="s">
        <v>1862</v>
      </c>
    </row>
    <row r="1621" spans="1:7" x14ac:dyDescent="0.25">
      <c r="A1621" s="69" t="s">
        <v>253</v>
      </c>
      <c r="B1621" s="71">
        <v>44561</v>
      </c>
      <c r="C1621">
        <v>3257</v>
      </c>
      <c r="D1621" t="s">
        <v>1844</v>
      </c>
      <c r="E1621" t="s">
        <v>1849</v>
      </c>
      <c r="F1621">
        <v>12</v>
      </c>
      <c r="G1621" t="s">
        <v>1863</v>
      </c>
    </row>
    <row r="1622" spans="1:7" x14ac:dyDescent="0.25">
      <c r="A1622" s="69" t="s">
        <v>253</v>
      </c>
      <c r="B1622" s="71">
        <v>44651</v>
      </c>
      <c r="C1622">
        <v>2488</v>
      </c>
      <c r="D1622" t="s">
        <v>1845</v>
      </c>
      <c r="E1622" t="s">
        <v>1846</v>
      </c>
      <c r="F1622">
        <v>3</v>
      </c>
      <c r="G1622" t="s">
        <v>1860</v>
      </c>
    </row>
    <row r="1623" spans="1:7" x14ac:dyDescent="0.25">
      <c r="A1623" s="69" t="s">
        <v>253</v>
      </c>
      <c r="B1623" s="71">
        <v>44742</v>
      </c>
      <c r="C1623">
        <v>2973</v>
      </c>
      <c r="D1623" t="s">
        <v>1845</v>
      </c>
      <c r="E1623" t="s">
        <v>1847</v>
      </c>
      <c r="F1623">
        <v>6</v>
      </c>
      <c r="G1623" t="s">
        <v>1861</v>
      </c>
    </row>
    <row r="1624" spans="1:7" x14ac:dyDescent="0.25">
      <c r="A1624" s="69" t="s">
        <v>253</v>
      </c>
      <c r="B1624" s="71">
        <v>44834</v>
      </c>
      <c r="C1624">
        <v>4439</v>
      </c>
      <c r="D1624" t="s">
        <v>1845</v>
      </c>
      <c r="E1624" t="s">
        <v>1848</v>
      </c>
      <c r="F1624">
        <v>9</v>
      </c>
      <c r="G1624" t="s">
        <v>1862</v>
      </c>
    </row>
    <row r="1625" spans="1:7" x14ac:dyDescent="0.25">
      <c r="A1625" s="69" t="s">
        <v>253</v>
      </c>
      <c r="B1625" s="71">
        <v>44926</v>
      </c>
      <c r="C1625">
        <v>2043</v>
      </c>
      <c r="D1625" t="s">
        <v>1845</v>
      </c>
      <c r="E1625" t="s">
        <v>1849</v>
      </c>
      <c r="F1625">
        <v>12</v>
      </c>
      <c r="G1625" t="s">
        <v>1863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AA1F-4B0A-43C5-888C-B2D6B3ACCB92}">
  <dimension ref="A1:E55"/>
  <sheetViews>
    <sheetView workbookViewId="0">
      <selection activeCell="B5" sqref="B5"/>
    </sheetView>
  </sheetViews>
  <sheetFormatPr defaultRowHeight="15" x14ac:dyDescent="0.25"/>
  <cols>
    <col min="1" max="1" width="84.5703125" style="29" bestFit="1" customWidth="1"/>
    <col min="2" max="2" width="37.140625" style="29" customWidth="1"/>
    <col min="3" max="3" width="19.5703125" style="29" customWidth="1"/>
    <col min="4" max="4" width="24.140625" style="29" bestFit="1" customWidth="1"/>
    <col min="7" max="7" width="81.140625" bestFit="1" customWidth="1"/>
  </cols>
  <sheetData>
    <row r="1" spans="1:4" ht="15.75" thickBot="1" x14ac:dyDescent="0.3">
      <c r="A1" s="29" t="s">
        <v>1762</v>
      </c>
      <c r="B1" s="29" t="s">
        <v>1763</v>
      </c>
      <c r="C1" s="29" t="s">
        <v>1764</v>
      </c>
      <c r="D1" s="29" t="s">
        <v>1765</v>
      </c>
    </row>
    <row r="2" spans="1:4" ht="15.75" thickBot="1" x14ac:dyDescent="0.3">
      <c r="A2" t="s">
        <v>78</v>
      </c>
      <c r="B2" s="63" t="s">
        <v>1766</v>
      </c>
      <c r="C2" s="63" t="s">
        <v>1767</v>
      </c>
      <c r="D2" s="63" t="s">
        <v>1768</v>
      </c>
    </row>
    <row r="3" spans="1:4" ht="15.75" thickBot="1" x14ac:dyDescent="0.3">
      <c r="A3" t="s">
        <v>79</v>
      </c>
      <c r="B3" s="63" t="s">
        <v>79</v>
      </c>
      <c r="C3" s="63" t="s">
        <v>1767</v>
      </c>
      <c r="D3" s="63" t="s">
        <v>1769</v>
      </c>
    </row>
    <row r="4" spans="1:4" ht="15.75" thickBot="1" x14ac:dyDescent="0.3">
      <c r="A4" t="s">
        <v>1724</v>
      </c>
      <c r="B4" s="63" t="s">
        <v>1770</v>
      </c>
      <c r="C4" s="63" t="s">
        <v>1767</v>
      </c>
      <c r="D4" s="63" t="s">
        <v>1771</v>
      </c>
    </row>
    <row r="5" spans="1:4" ht="15.75" thickBot="1" x14ac:dyDescent="0.3">
      <c r="A5" t="s">
        <v>1725</v>
      </c>
      <c r="B5" s="63" t="s">
        <v>1725</v>
      </c>
      <c r="C5" s="63" t="s">
        <v>1767</v>
      </c>
      <c r="D5" s="63" t="s">
        <v>1771</v>
      </c>
    </row>
    <row r="6" spans="1:4" ht="15.75" thickBot="1" x14ac:dyDescent="0.3">
      <c r="A6" t="s">
        <v>90</v>
      </c>
      <c r="B6" s="63" t="s">
        <v>1772</v>
      </c>
      <c r="C6" s="63" t="s">
        <v>1767</v>
      </c>
      <c r="D6" s="63" t="s">
        <v>1773</v>
      </c>
    </row>
    <row r="7" spans="1:4" ht="15.75" thickBot="1" x14ac:dyDescent="0.3">
      <c r="A7" t="s">
        <v>91</v>
      </c>
      <c r="B7" s="63" t="s">
        <v>1774</v>
      </c>
      <c r="C7" s="63" t="s">
        <v>1767</v>
      </c>
      <c r="D7" s="63" t="s">
        <v>1773</v>
      </c>
    </row>
    <row r="8" spans="1:4" ht="29.25" thickBot="1" x14ac:dyDescent="0.3">
      <c r="A8" t="s">
        <v>97</v>
      </c>
      <c r="B8" s="63" t="s">
        <v>97</v>
      </c>
      <c r="C8" s="63" t="s">
        <v>1767</v>
      </c>
      <c r="D8" s="63" t="s">
        <v>1775</v>
      </c>
    </row>
    <row r="9" spans="1:4" ht="29.25" thickBot="1" x14ac:dyDescent="0.3">
      <c r="A9" t="s">
        <v>98</v>
      </c>
      <c r="B9" s="63" t="s">
        <v>98</v>
      </c>
      <c r="C9" s="63" t="s">
        <v>1767</v>
      </c>
      <c r="D9" s="63" t="s">
        <v>1775</v>
      </c>
    </row>
    <row r="10" spans="1:4" ht="29.25" thickBot="1" x14ac:dyDescent="0.3">
      <c r="A10" t="s">
        <v>101</v>
      </c>
      <c r="B10" s="63" t="s">
        <v>1776</v>
      </c>
      <c r="C10" s="63" t="s">
        <v>1767</v>
      </c>
      <c r="D10" s="63" t="s">
        <v>1775</v>
      </c>
    </row>
    <row r="11" spans="1:4" ht="29.25" thickBot="1" x14ac:dyDescent="0.3">
      <c r="A11" t="s">
        <v>103</v>
      </c>
      <c r="B11" s="63" t="s">
        <v>1777</v>
      </c>
      <c r="C11" s="63" t="s">
        <v>1767</v>
      </c>
      <c r="D11" s="63" t="s">
        <v>1775</v>
      </c>
    </row>
    <row r="12" spans="1:4" ht="15.75" thickBot="1" x14ac:dyDescent="0.3">
      <c r="A12" t="s">
        <v>1723</v>
      </c>
      <c r="B12" s="63" t="s">
        <v>1778</v>
      </c>
      <c r="C12" s="63" t="s">
        <v>1767</v>
      </c>
      <c r="D12" s="63" t="s">
        <v>1779</v>
      </c>
    </row>
    <row r="13" spans="1:4" ht="15.75" thickBot="1" x14ac:dyDescent="0.3">
      <c r="A13" t="s">
        <v>13</v>
      </c>
      <c r="B13" s="63" t="s">
        <v>1780</v>
      </c>
      <c r="C13" s="63" t="s">
        <v>1781</v>
      </c>
      <c r="D13" s="63" t="s">
        <v>1782</v>
      </c>
    </row>
    <row r="14" spans="1:4" ht="15.75" thickBot="1" x14ac:dyDescent="0.3">
      <c r="A14" t="s">
        <v>14</v>
      </c>
      <c r="B14" s="63" t="s">
        <v>14</v>
      </c>
      <c r="C14" s="63" t="s">
        <v>1781</v>
      </c>
      <c r="D14" s="63" t="s">
        <v>1782</v>
      </c>
    </row>
    <row r="15" spans="1:4" ht="15.75" thickBot="1" x14ac:dyDescent="0.3">
      <c r="A15" t="s">
        <v>15</v>
      </c>
      <c r="B15" s="63" t="s">
        <v>1783</v>
      </c>
      <c r="C15" s="63" t="s">
        <v>1781</v>
      </c>
      <c r="D15" s="63" t="s">
        <v>1784</v>
      </c>
    </row>
    <row r="16" spans="1:4" ht="15.75" thickBot="1" x14ac:dyDescent="0.3">
      <c r="A16" t="s">
        <v>20</v>
      </c>
      <c r="B16" s="63" t="s">
        <v>20</v>
      </c>
      <c r="C16" s="63" t="s">
        <v>1781</v>
      </c>
      <c r="D16" s="63" t="s">
        <v>1785</v>
      </c>
    </row>
    <row r="17" spans="1:4" ht="15.75" thickBot="1" x14ac:dyDescent="0.3">
      <c r="A17" t="s">
        <v>23</v>
      </c>
      <c r="B17" s="63" t="s">
        <v>1786</v>
      </c>
      <c r="C17" s="63" t="s">
        <v>1781</v>
      </c>
      <c r="D17" s="63" t="s">
        <v>1787</v>
      </c>
    </row>
    <row r="18" spans="1:4" ht="15.75" thickBot="1" x14ac:dyDescent="0.3">
      <c r="A18" t="s">
        <v>30</v>
      </c>
      <c r="B18" s="63" t="s">
        <v>1788</v>
      </c>
      <c r="C18" s="63" t="s">
        <v>1781</v>
      </c>
      <c r="D18" s="63" t="s">
        <v>1789</v>
      </c>
    </row>
    <row r="19" spans="1:4" ht="15.75" thickBot="1" x14ac:dyDescent="0.3">
      <c r="A19" t="s">
        <v>34</v>
      </c>
      <c r="B19" s="63" t="s">
        <v>1790</v>
      </c>
      <c r="C19" s="63" t="s">
        <v>1781</v>
      </c>
      <c r="D19" s="63" t="s">
        <v>1789</v>
      </c>
    </row>
    <row r="20" spans="1:4" ht="15.75" thickBot="1" x14ac:dyDescent="0.3">
      <c r="A20" t="s">
        <v>35</v>
      </c>
      <c r="B20" s="63" t="s">
        <v>1791</v>
      </c>
      <c r="C20" s="63" t="s">
        <v>1781</v>
      </c>
      <c r="D20" s="63" t="s">
        <v>1789</v>
      </c>
    </row>
    <row r="21" spans="1:4" ht="15.75" thickBot="1" x14ac:dyDescent="0.3">
      <c r="A21" t="s">
        <v>36</v>
      </c>
      <c r="B21" s="63" t="s">
        <v>1792</v>
      </c>
      <c r="C21" s="63" t="s">
        <v>1781</v>
      </c>
      <c r="D21" s="63" t="s">
        <v>1789</v>
      </c>
    </row>
    <row r="22" spans="1:4" ht="15.75" thickBot="1" x14ac:dyDescent="0.3">
      <c r="A22" t="s">
        <v>42</v>
      </c>
      <c r="B22" s="63" t="s">
        <v>1793</v>
      </c>
      <c r="C22" s="63" t="s">
        <v>1781</v>
      </c>
      <c r="D22" s="63" t="s">
        <v>1794</v>
      </c>
    </row>
    <row r="23" spans="1:4" ht="29.25" thickBot="1" x14ac:dyDescent="0.3">
      <c r="A23" t="s">
        <v>43</v>
      </c>
      <c r="B23" s="63" t="s">
        <v>1795</v>
      </c>
      <c r="C23" s="63" t="s">
        <v>1781</v>
      </c>
      <c r="D23" s="63" t="s">
        <v>1796</v>
      </c>
    </row>
    <row r="24" spans="1:4" ht="15.75" thickBot="1" x14ac:dyDescent="0.3">
      <c r="A24" t="s">
        <v>51</v>
      </c>
      <c r="B24" s="63" t="s">
        <v>1797</v>
      </c>
      <c r="C24" s="63" t="s">
        <v>1781</v>
      </c>
      <c r="D24" s="63" t="s">
        <v>1798</v>
      </c>
    </row>
    <row r="25" spans="1:4" ht="15.75" thickBot="1" x14ac:dyDescent="0.3">
      <c r="A25" t="s">
        <v>57</v>
      </c>
      <c r="B25" s="63" t="s">
        <v>1799</v>
      </c>
      <c r="C25" s="63" t="s">
        <v>1781</v>
      </c>
      <c r="D25" s="63" t="s">
        <v>1800</v>
      </c>
    </row>
    <row r="26" spans="1:4" ht="15.75" thickBot="1" x14ac:dyDescent="0.3">
      <c r="A26" t="s">
        <v>61</v>
      </c>
      <c r="B26" s="63" t="s">
        <v>1801</v>
      </c>
      <c r="C26" s="63" t="s">
        <v>1781</v>
      </c>
      <c r="D26" s="63" t="s">
        <v>61</v>
      </c>
    </row>
    <row r="27" spans="1:4" ht="15.75" thickBot="1" x14ac:dyDescent="0.3">
      <c r="A27" t="s">
        <v>62</v>
      </c>
      <c r="B27" s="63" t="s">
        <v>1802</v>
      </c>
      <c r="C27" s="63" t="s">
        <v>1781</v>
      </c>
      <c r="D27" s="63" t="s">
        <v>61</v>
      </c>
    </row>
    <row r="28" spans="1:4" ht="15.75" thickBot="1" x14ac:dyDescent="0.3">
      <c r="A28" t="s">
        <v>66</v>
      </c>
      <c r="B28" s="63" t="s">
        <v>1803</v>
      </c>
      <c r="C28" s="63" t="s">
        <v>1781</v>
      </c>
      <c r="D28" s="63" t="s">
        <v>61</v>
      </c>
    </row>
    <row r="29" spans="1:4" ht="15.75" thickBot="1" x14ac:dyDescent="0.3">
      <c r="A29" t="s">
        <v>67</v>
      </c>
      <c r="B29" s="63" t="s">
        <v>67</v>
      </c>
      <c r="C29" s="63" t="s">
        <v>1781</v>
      </c>
      <c r="D29" s="63" t="s">
        <v>61</v>
      </c>
    </row>
    <row r="30" spans="1:4" ht="15.75" thickBot="1" x14ac:dyDescent="0.3">
      <c r="A30" t="s">
        <v>68</v>
      </c>
      <c r="B30" s="63" t="s">
        <v>1804</v>
      </c>
      <c r="C30" s="63" t="s">
        <v>1781</v>
      </c>
      <c r="D30" s="63" t="s">
        <v>61</v>
      </c>
    </row>
    <row r="31" spans="1:4" ht="15.75" thickBot="1" x14ac:dyDescent="0.3">
      <c r="A31" t="s">
        <v>172</v>
      </c>
      <c r="B31" s="63" t="s">
        <v>1805</v>
      </c>
      <c r="C31" s="63" t="s">
        <v>1806</v>
      </c>
      <c r="D31" s="63" t="s">
        <v>1807</v>
      </c>
    </row>
    <row r="32" spans="1:4" ht="15.75" thickBot="1" x14ac:dyDescent="0.3">
      <c r="A32" t="s">
        <v>176</v>
      </c>
      <c r="B32" s="63" t="s">
        <v>1808</v>
      </c>
      <c r="C32" s="63" t="s">
        <v>1806</v>
      </c>
      <c r="D32" s="63" t="s">
        <v>1807</v>
      </c>
    </row>
    <row r="33" spans="1:4" ht="15.75" thickBot="1" x14ac:dyDescent="0.3">
      <c r="A33" t="s">
        <v>178</v>
      </c>
      <c r="B33" s="63" t="s">
        <v>1809</v>
      </c>
      <c r="C33" s="63" t="s">
        <v>1806</v>
      </c>
      <c r="D33" s="63" t="s">
        <v>1810</v>
      </c>
    </row>
    <row r="34" spans="1:4" ht="15.75" thickBot="1" x14ac:dyDescent="0.3">
      <c r="A34" t="s">
        <v>181</v>
      </c>
      <c r="B34" s="63" t="s">
        <v>1811</v>
      </c>
      <c r="C34" s="63" t="s">
        <v>1806</v>
      </c>
      <c r="D34" s="63" t="s">
        <v>1810</v>
      </c>
    </row>
    <row r="35" spans="1:4" ht="15.75" thickBot="1" x14ac:dyDescent="0.3">
      <c r="A35" t="s">
        <v>185</v>
      </c>
      <c r="B35" s="63" t="s">
        <v>1812</v>
      </c>
      <c r="C35" s="63" t="s">
        <v>1806</v>
      </c>
      <c r="D35" s="63" t="s">
        <v>1810</v>
      </c>
    </row>
    <row r="36" spans="1:4" ht="15.75" thickBot="1" x14ac:dyDescent="0.3">
      <c r="A36" t="s">
        <v>190</v>
      </c>
      <c r="B36" s="63" t="s">
        <v>1813</v>
      </c>
      <c r="C36" s="63" t="s">
        <v>1806</v>
      </c>
      <c r="D36" s="63" t="s">
        <v>1814</v>
      </c>
    </row>
    <row r="37" spans="1:4" ht="15.75" thickBot="1" x14ac:dyDescent="0.3">
      <c r="A37" t="s">
        <v>195</v>
      </c>
      <c r="B37" s="63" t="s">
        <v>1815</v>
      </c>
      <c r="C37" s="63" t="s">
        <v>1806</v>
      </c>
      <c r="D37" s="63" t="s">
        <v>1816</v>
      </c>
    </row>
    <row r="38" spans="1:4" ht="15.75" thickBot="1" x14ac:dyDescent="0.3">
      <c r="A38" t="s">
        <v>201</v>
      </c>
      <c r="B38" s="63" t="s">
        <v>1817</v>
      </c>
      <c r="C38" s="63" t="s">
        <v>1806</v>
      </c>
      <c r="D38" s="63" t="s">
        <v>1818</v>
      </c>
    </row>
    <row r="39" spans="1:4" ht="15.75" thickBot="1" x14ac:dyDescent="0.3">
      <c r="A39" t="s">
        <v>204</v>
      </c>
      <c r="B39" s="63" t="s">
        <v>1819</v>
      </c>
      <c r="C39" s="63" t="s">
        <v>1806</v>
      </c>
      <c r="D39" s="63" t="s">
        <v>1818</v>
      </c>
    </row>
    <row r="40" spans="1:4" ht="15.75" thickBot="1" x14ac:dyDescent="0.3">
      <c r="A40" t="s">
        <v>205</v>
      </c>
      <c r="B40" s="63" t="s">
        <v>1820</v>
      </c>
      <c r="C40" s="63" t="s">
        <v>1806</v>
      </c>
      <c r="D40" s="63" t="s">
        <v>1818</v>
      </c>
    </row>
    <row r="41" spans="1:4" ht="15.75" thickBot="1" x14ac:dyDescent="0.3">
      <c r="A41" t="s">
        <v>213</v>
      </c>
      <c r="B41" s="63" t="s">
        <v>213</v>
      </c>
      <c r="C41" s="63" t="s">
        <v>1806</v>
      </c>
      <c r="D41" s="63" t="s">
        <v>1818</v>
      </c>
    </row>
    <row r="42" spans="1:4" ht="15.75" thickBot="1" x14ac:dyDescent="0.3">
      <c r="A42" t="s">
        <v>214</v>
      </c>
      <c r="B42" s="63" t="s">
        <v>1821</v>
      </c>
      <c r="C42" s="63" t="s">
        <v>1806</v>
      </c>
      <c r="D42" s="63" t="s">
        <v>1822</v>
      </c>
    </row>
    <row r="43" spans="1:4" ht="15.75" thickBot="1" x14ac:dyDescent="0.3">
      <c r="A43" t="s">
        <v>215</v>
      </c>
      <c r="B43" s="63" t="s">
        <v>1823</v>
      </c>
      <c r="C43" s="63" t="s">
        <v>1806</v>
      </c>
      <c r="D43" s="63" t="s">
        <v>1822</v>
      </c>
    </row>
    <row r="44" spans="1:4" ht="15.75" thickBot="1" x14ac:dyDescent="0.3">
      <c r="A44" t="s">
        <v>217</v>
      </c>
      <c r="B44" s="63" t="s">
        <v>1824</v>
      </c>
      <c r="C44" s="63" t="s">
        <v>1806</v>
      </c>
      <c r="D44" s="63" t="s">
        <v>1822</v>
      </c>
    </row>
    <row r="45" spans="1:4" ht="15.75" thickBot="1" x14ac:dyDescent="0.3">
      <c r="A45" t="s">
        <v>221</v>
      </c>
      <c r="B45" s="63" t="s">
        <v>1825</v>
      </c>
      <c r="C45" s="63" t="s">
        <v>1806</v>
      </c>
      <c r="D45" s="63" t="s">
        <v>1822</v>
      </c>
    </row>
    <row r="46" spans="1:4" ht="15.75" thickBot="1" x14ac:dyDescent="0.3">
      <c r="A46" t="s">
        <v>224</v>
      </c>
      <c r="B46" s="63" t="s">
        <v>1826</v>
      </c>
      <c r="C46" s="63" t="s">
        <v>1806</v>
      </c>
      <c r="D46" s="63" t="s">
        <v>1822</v>
      </c>
    </row>
    <row r="47" spans="1:4" ht="15.75" thickBot="1" x14ac:dyDescent="0.3">
      <c r="A47" t="s">
        <v>228</v>
      </c>
      <c r="B47" s="63" t="s">
        <v>1827</v>
      </c>
      <c r="C47" s="63" t="s">
        <v>1806</v>
      </c>
      <c r="D47" s="63" t="s">
        <v>1828</v>
      </c>
    </row>
    <row r="48" spans="1:4" ht="15.75" thickBot="1" x14ac:dyDescent="0.3">
      <c r="A48" t="s">
        <v>234</v>
      </c>
      <c r="B48" s="63" t="s">
        <v>1829</v>
      </c>
      <c r="C48" s="63" t="s">
        <v>1806</v>
      </c>
      <c r="D48" s="63" t="s">
        <v>1830</v>
      </c>
    </row>
    <row r="49" spans="1:5" ht="15.75" thickBot="1" x14ac:dyDescent="0.3">
      <c r="A49" t="s">
        <v>237</v>
      </c>
      <c r="B49" s="63" t="s">
        <v>237</v>
      </c>
      <c r="C49" s="63" t="s">
        <v>1806</v>
      </c>
      <c r="D49" s="63" t="s">
        <v>1830</v>
      </c>
    </row>
    <row r="50" spans="1:5" ht="15.75" thickBot="1" x14ac:dyDescent="0.3">
      <c r="A50" t="s">
        <v>240</v>
      </c>
      <c r="B50" s="63" t="s">
        <v>1831</v>
      </c>
      <c r="C50" s="63" t="s">
        <v>1806</v>
      </c>
      <c r="D50" s="63" t="s">
        <v>1832</v>
      </c>
    </row>
    <row r="51" spans="1:5" ht="15.75" thickBot="1" x14ac:dyDescent="0.3">
      <c r="A51" t="s">
        <v>243</v>
      </c>
      <c r="B51" s="63" t="s">
        <v>1833</v>
      </c>
      <c r="C51" s="63" t="s">
        <v>1806</v>
      </c>
      <c r="D51" s="63" t="s">
        <v>1832</v>
      </c>
    </row>
    <row r="52" spans="1:5" ht="15.75" thickBot="1" x14ac:dyDescent="0.3">
      <c r="A52" t="s">
        <v>246</v>
      </c>
      <c r="B52" s="63" t="s">
        <v>1834</v>
      </c>
      <c r="C52" s="63" t="s">
        <v>1806</v>
      </c>
      <c r="D52" s="63" t="s">
        <v>1832</v>
      </c>
    </row>
    <row r="53" spans="1:5" ht="15.75" thickBot="1" x14ac:dyDescent="0.3">
      <c r="A53" t="s">
        <v>247</v>
      </c>
      <c r="B53" s="63" t="s">
        <v>1835</v>
      </c>
      <c r="C53" s="63" t="s">
        <v>1806</v>
      </c>
      <c r="D53" s="63" t="s">
        <v>1832</v>
      </c>
    </row>
    <row r="54" spans="1:5" ht="15.75" thickBot="1" x14ac:dyDescent="0.3">
      <c r="A54" t="s">
        <v>253</v>
      </c>
      <c r="B54" s="63" t="s">
        <v>1836</v>
      </c>
      <c r="C54" s="63" t="s">
        <v>1806</v>
      </c>
      <c r="D54" s="63" t="s">
        <v>1837</v>
      </c>
    </row>
    <row r="55" spans="1:5" x14ac:dyDescent="0.25">
      <c r="B55"/>
      <c r="E55" s="2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4FACBE4-7E2D-4034-B676-CADB02D7B774}">
  <ds:schemaRefs/>
</ds:datastoreItem>
</file>

<file path=customXml/itemProps2.xml><?xml version="1.0" encoding="utf-8"?>
<ds:datastoreItem xmlns:ds="http://schemas.openxmlformats.org/officeDocument/2006/customXml" ds:itemID="{9E4A990F-9AC3-4EB2-85B1-7D607BC7C16F}">
  <ds:schemaRefs/>
</ds:datastoreItem>
</file>

<file path=customXml/itemProps3.xml><?xml version="1.0" encoding="utf-8"?>
<ds:datastoreItem xmlns:ds="http://schemas.openxmlformats.org/officeDocument/2006/customXml" ds:itemID="{A15FFF81-FC67-4291-A028-37FD1FE828E3}">
  <ds:schemaRefs/>
</ds:datastoreItem>
</file>

<file path=customXml/itemProps4.xml><?xml version="1.0" encoding="utf-8"?>
<ds:datastoreItem xmlns:ds="http://schemas.openxmlformats.org/officeDocument/2006/customXml" ds:itemID="{8AED4CA2-CE2D-4BE1-A65C-D5FCAF89288A}">
  <ds:schemaRefs/>
</ds:datastoreItem>
</file>

<file path=customXml/itemProps5.xml><?xml version="1.0" encoding="utf-8"?>
<ds:datastoreItem xmlns:ds="http://schemas.openxmlformats.org/officeDocument/2006/customXml" ds:itemID="{5A68DBCB-6F73-4B82-8922-4F9642035D5E}">
  <ds:schemaRefs/>
</ds:datastoreItem>
</file>

<file path=customXml/itemProps6.xml><?xml version="1.0" encoding="utf-8"?>
<ds:datastoreItem xmlns:ds="http://schemas.openxmlformats.org/officeDocument/2006/customXml" ds:itemID="{B12529CE-D470-4B2E-AFCA-CE9EF281F50C}">
  <ds:schemaRefs/>
</ds:datastoreItem>
</file>

<file path=customXml/itemProps7.xml><?xml version="1.0" encoding="utf-8"?>
<ds:datastoreItem xmlns:ds="http://schemas.openxmlformats.org/officeDocument/2006/customXml" ds:itemID="{27C6DCBF-1B9D-4BD2-8DD2-E5B80502C567}">
  <ds:schemaRefs/>
</ds:datastoreItem>
</file>

<file path=customXml/itemProps8.xml><?xml version="1.0" encoding="utf-8"?>
<ds:datastoreItem xmlns:ds="http://schemas.openxmlformats.org/officeDocument/2006/customXml" ds:itemID="{CE65A05C-16C3-407B-B7EE-C4D1C134AA88}">
  <ds:schemaRefs/>
</ds:datastoreItem>
</file>

<file path=customXml/itemProps9.xml><?xml version="1.0" encoding="utf-8"?>
<ds:datastoreItem xmlns:ds="http://schemas.openxmlformats.org/officeDocument/2006/customXml" ds:itemID="{550972D2-687B-46DA-9B11-F752FF67F1F7}">
  <ds:schemaRefs/>
</ds:datastoreItem>
</file>

<file path=customXml/itemProps10.xml><?xml version="1.0" encoding="utf-8"?>
<ds:datastoreItem xmlns:ds="http://schemas.openxmlformats.org/officeDocument/2006/customXml" ds:itemID="{516A5F23-4EA1-4C42-988B-5B6199BA80B7}">
  <ds:schemaRefs/>
</ds:datastoreItem>
</file>

<file path=customXml/itemProps11.xml><?xml version="1.0" encoding="utf-8"?>
<ds:datastoreItem xmlns:ds="http://schemas.openxmlformats.org/officeDocument/2006/customXml" ds:itemID="{2BFD4070-D9DF-436B-B2AC-465E09E4F53F}">
  <ds:schemaRefs/>
</ds:datastoreItem>
</file>

<file path=customXml/itemProps12.xml><?xml version="1.0" encoding="utf-8"?>
<ds:datastoreItem xmlns:ds="http://schemas.openxmlformats.org/officeDocument/2006/customXml" ds:itemID="{4E888617-BAA9-4A51-BA1B-79977914E9DB}">
  <ds:schemaRefs/>
</ds:datastoreItem>
</file>

<file path=customXml/itemProps13.xml><?xml version="1.0" encoding="utf-8"?>
<ds:datastoreItem xmlns:ds="http://schemas.openxmlformats.org/officeDocument/2006/customXml" ds:itemID="{8D396F7E-5F85-40CB-A4F5-9B76A9872A0C}">
  <ds:schemaRefs/>
</ds:datastoreItem>
</file>

<file path=customXml/itemProps14.xml><?xml version="1.0" encoding="utf-8"?>
<ds:datastoreItem xmlns:ds="http://schemas.openxmlformats.org/officeDocument/2006/customXml" ds:itemID="{ABAE7751-8D24-40B3-AAB7-844655A353A5}">
  <ds:schemaRefs/>
</ds:datastoreItem>
</file>

<file path=customXml/itemProps15.xml><?xml version="1.0" encoding="utf-8"?>
<ds:datastoreItem xmlns:ds="http://schemas.openxmlformats.org/officeDocument/2006/customXml" ds:itemID="{D34DA2F6-639C-4B03-A7D8-2F2917DBD5C9}">
  <ds:schemaRefs/>
</ds:datastoreItem>
</file>

<file path=customXml/itemProps16.xml><?xml version="1.0" encoding="utf-8"?>
<ds:datastoreItem xmlns:ds="http://schemas.openxmlformats.org/officeDocument/2006/customXml" ds:itemID="{C166B92D-CEFB-47FC-A91C-48660ACBF2C2}">
  <ds:schemaRefs/>
</ds:datastoreItem>
</file>

<file path=customXml/itemProps17.xml><?xml version="1.0" encoding="utf-8"?>
<ds:datastoreItem xmlns:ds="http://schemas.openxmlformats.org/officeDocument/2006/customXml" ds:itemID="{64497696-1C09-4D19-A10E-F94B7F63A0B8}">
  <ds:schemaRefs/>
</ds:datastoreItem>
</file>

<file path=customXml/itemProps18.xml><?xml version="1.0" encoding="utf-8"?>
<ds:datastoreItem xmlns:ds="http://schemas.openxmlformats.org/officeDocument/2006/customXml" ds:itemID="{586C87CE-B650-454E-A0B8-11E6A60119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16-I</vt:lpstr>
      <vt:lpstr>16-II</vt:lpstr>
      <vt:lpstr>16-III</vt:lpstr>
      <vt:lpstr>16-IV</vt:lpstr>
      <vt:lpstr>ER (2)</vt:lpstr>
      <vt:lpstr>17-I</vt:lpstr>
      <vt:lpstr>17-II</vt:lpstr>
      <vt:lpstr>17-III</vt:lpstr>
      <vt:lpstr>17-IV</vt:lpstr>
      <vt:lpstr>18-I</vt:lpstr>
      <vt:lpstr>18-II</vt:lpstr>
      <vt:lpstr>18-III</vt:lpstr>
      <vt:lpstr>18-IV</vt:lpstr>
      <vt:lpstr>19-I</vt:lpstr>
      <vt:lpstr>19-II</vt:lpstr>
      <vt:lpstr>19-III</vt:lpstr>
      <vt:lpstr>19-IV</vt:lpstr>
      <vt:lpstr>20-I</vt:lpstr>
      <vt:lpstr>20-II</vt:lpstr>
      <vt:lpstr>20-III</vt:lpstr>
      <vt:lpstr>20-IV</vt:lpstr>
      <vt:lpstr>21-I</vt:lpstr>
      <vt:lpstr>21-II</vt:lpstr>
      <vt:lpstr>21-III</vt:lpstr>
      <vt:lpstr>21-IV</vt:lpstr>
      <vt:lpstr>22-I</vt:lpstr>
      <vt:lpstr>22-II</vt:lpstr>
      <vt:lpstr>22-III</vt:lpstr>
      <vt:lpstr>22-IV</vt:lpstr>
      <vt:lpstr>ER</vt:lpstr>
      <vt:lpstr>E_R</vt:lpstr>
      <vt:lpstr>Sheet5</vt:lpstr>
      <vt:lpstr>Data</vt:lpstr>
      <vt:lpstr>Mapeo_Cuentas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Benjamín Israel Lara Montero</dc:creator>
  <cp:lastModifiedBy>Benjamín Israel Lara Montero</cp:lastModifiedBy>
  <dcterms:created xsi:type="dcterms:W3CDTF">2026-10-06T16:37:16Z</dcterms:created>
  <dcterms:modified xsi:type="dcterms:W3CDTF">2026-10-08T22:08:25Z</dcterms:modified>
</cp:coreProperties>
</file>